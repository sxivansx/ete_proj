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0547E4-B783-4F9B-B0CD-0D90B3E289FA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CO-Attainment flow" sheetId="7" r:id="rId1"/>
    <sheet name="CO-PO Mapping" sheetId="4" r:id="rId2"/>
    <sheet name="CIE+SEE" sheetId="2" r:id="rId3"/>
    <sheet name="CES" sheetId="8" r:id="rId4"/>
    <sheet name="CO-Attainment" sheetId="5" r:id="rId5"/>
    <sheet name="PO-Attainment (2)" sheetId="9" r:id="rId6"/>
  </sheets>
  <externalReferences>
    <externalReference r:id="rId7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9" l="1"/>
  <c r="H32" i="9"/>
  <c r="H33" i="9" s="1"/>
  <c r="I32" i="9"/>
  <c r="L32" i="9"/>
  <c r="L33" i="9" s="1"/>
  <c r="M32" i="9"/>
  <c r="M33" i="9" s="1"/>
  <c r="I33" i="9"/>
  <c r="G33" i="9"/>
  <c r="E5" i="5"/>
  <c r="D5" i="5"/>
  <c r="C5" i="5"/>
  <c r="T7" i="9"/>
  <c r="S7" i="9" s="1"/>
  <c r="T6" i="9"/>
  <c r="S6" i="9" s="1"/>
  <c r="T5" i="9"/>
  <c r="S5" i="9" s="1"/>
  <c r="T4" i="9"/>
  <c r="B28" i="9" s="1"/>
  <c r="B32" i="9" s="1"/>
  <c r="B33" i="9" s="1"/>
  <c r="G22" i="5"/>
  <c r="H22" i="5"/>
  <c r="I22" i="5"/>
  <c r="F22" i="5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W105" i="2"/>
  <c r="AX105" i="2"/>
  <c r="AY105" i="2"/>
  <c r="AZ105" i="2"/>
  <c r="I4" i="8"/>
  <c r="AW109" i="2"/>
  <c r="AY109" i="2"/>
  <c r="J31" i="9" l="1"/>
  <c r="J32" i="9" s="1"/>
  <c r="J33" i="9" s="1"/>
  <c r="C29" i="9"/>
  <c r="C32" i="9" s="1"/>
  <c r="C33" i="9" s="1"/>
  <c r="D30" i="9"/>
  <c r="D32" i="9" s="1"/>
  <c r="D33" i="9" s="1"/>
  <c r="N31" i="9"/>
  <c r="N32" i="9" s="1"/>
  <c r="N33" i="9" s="1"/>
  <c r="E31" i="9"/>
  <c r="O31" i="9"/>
  <c r="O32" i="9" s="1"/>
  <c r="O33" i="9" s="1"/>
  <c r="F31" i="9"/>
  <c r="F32" i="9" s="1"/>
  <c r="F33" i="9" s="1"/>
  <c r="E29" i="9"/>
  <c r="E30" i="9"/>
  <c r="K31" i="9"/>
  <c r="K32" i="9" s="1"/>
  <c r="K33" i="9" s="1"/>
  <c r="F9" i="9"/>
  <c r="C9" i="9"/>
  <c r="S4" i="9"/>
  <c r="N10" i="9"/>
  <c r="G9" i="9"/>
  <c r="K9" i="9"/>
  <c r="N9" i="9"/>
  <c r="D10" i="9"/>
  <c r="H10" i="9"/>
  <c r="L10" i="9"/>
  <c r="O10" i="9"/>
  <c r="C10" i="9"/>
  <c r="K10" i="9"/>
  <c r="D9" i="9"/>
  <c r="H9" i="9"/>
  <c r="L9" i="9"/>
  <c r="O9" i="9"/>
  <c r="E10" i="9"/>
  <c r="I10" i="9"/>
  <c r="M10" i="9"/>
  <c r="P10" i="9"/>
  <c r="J9" i="9"/>
  <c r="G10" i="9"/>
  <c r="E9" i="9"/>
  <c r="I9" i="9"/>
  <c r="M9" i="9"/>
  <c r="P9" i="9"/>
  <c r="F10" i="9"/>
  <c r="J10" i="9"/>
  <c r="AY110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C111" i="2"/>
  <c r="C112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C110" i="2"/>
  <c r="AL109" i="2"/>
  <c r="AM109" i="2"/>
  <c r="AN109" i="2"/>
  <c r="AO109" i="2"/>
  <c r="AP109" i="2"/>
  <c r="AQ109" i="2"/>
  <c r="AR109" i="2"/>
  <c r="AS109" i="2"/>
  <c r="AT109" i="2"/>
  <c r="AU109" i="2"/>
  <c r="AV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C109" i="2"/>
  <c r="C105" i="2"/>
  <c r="F12" i="9" l="1"/>
  <c r="E32" i="9"/>
  <c r="E33" i="9" s="1"/>
  <c r="C12" i="9"/>
  <c r="M12" i="9"/>
  <c r="J12" i="9"/>
  <c r="D12" i="9"/>
  <c r="N12" i="9"/>
  <c r="I12" i="9"/>
  <c r="O12" i="9"/>
  <c r="K12" i="9"/>
  <c r="P12" i="9"/>
  <c r="H12" i="9"/>
  <c r="E12" i="9"/>
  <c r="L12" i="9"/>
  <c r="G12" i="9"/>
  <c r="D8" i="2" l="1"/>
  <c r="E8" i="2"/>
  <c r="E104" i="2" s="1"/>
  <c r="E106" i="2" s="1"/>
  <c r="F8" i="2"/>
  <c r="F104" i="2" s="1"/>
  <c r="F106" i="2" s="1"/>
  <c r="G8" i="2"/>
  <c r="G104" i="2" s="1"/>
  <c r="G106" i="2" s="1"/>
  <c r="H8" i="2"/>
  <c r="I8" i="2"/>
  <c r="I104" i="2" s="1"/>
  <c r="I106" i="2" s="1"/>
  <c r="J8" i="2"/>
  <c r="J104" i="2" s="1"/>
  <c r="J106" i="2" s="1"/>
  <c r="K8" i="2"/>
  <c r="K104" i="2" s="1"/>
  <c r="K106" i="2" s="1"/>
  <c r="L8" i="2"/>
  <c r="L104" i="2" s="1"/>
  <c r="L106" i="2" s="1"/>
  <c r="M8" i="2"/>
  <c r="M104" i="2" s="1"/>
  <c r="M106" i="2" s="1"/>
  <c r="N8" i="2"/>
  <c r="N104" i="2" s="1"/>
  <c r="N106" i="2" s="1"/>
  <c r="O8" i="2"/>
  <c r="O104" i="2" s="1"/>
  <c r="O106" i="2" s="1"/>
  <c r="P8" i="2"/>
  <c r="P104" i="2" s="1"/>
  <c r="P106" i="2" s="1"/>
  <c r="Q8" i="2"/>
  <c r="Q104" i="2" s="1"/>
  <c r="Q106" i="2" s="1"/>
  <c r="R8" i="2"/>
  <c r="R104" i="2" s="1"/>
  <c r="R106" i="2" s="1"/>
  <c r="T8" i="2"/>
  <c r="T104" i="2" s="1"/>
  <c r="T106" i="2" s="1"/>
  <c r="U8" i="2"/>
  <c r="U104" i="2" s="1"/>
  <c r="U106" i="2" s="1"/>
  <c r="V8" i="2"/>
  <c r="V104" i="2" s="1"/>
  <c r="V106" i="2" s="1"/>
  <c r="W8" i="2"/>
  <c r="W104" i="2" s="1"/>
  <c r="W106" i="2" s="1"/>
  <c r="X8" i="2"/>
  <c r="X104" i="2" s="1"/>
  <c r="X106" i="2" s="1"/>
  <c r="Y8" i="2"/>
  <c r="Y104" i="2" s="1"/>
  <c r="Y106" i="2" s="1"/>
  <c r="Z8" i="2"/>
  <c r="Z104" i="2" s="1"/>
  <c r="Z106" i="2" s="1"/>
  <c r="AA8" i="2"/>
  <c r="AA104" i="2" s="1"/>
  <c r="AA106" i="2" s="1"/>
  <c r="AB8" i="2"/>
  <c r="AB104" i="2" s="1"/>
  <c r="AB106" i="2" s="1"/>
  <c r="AC8" i="2"/>
  <c r="AC104" i="2" s="1"/>
  <c r="AC106" i="2" s="1"/>
  <c r="AD8" i="2"/>
  <c r="AD104" i="2" s="1"/>
  <c r="AD106" i="2" s="1"/>
  <c r="AE8" i="2"/>
  <c r="AE104" i="2" s="1"/>
  <c r="AE106" i="2" s="1"/>
  <c r="AG8" i="2"/>
  <c r="AG104" i="2" s="1"/>
  <c r="AG106" i="2" s="1"/>
  <c r="AH8" i="2"/>
  <c r="AH104" i="2" s="1"/>
  <c r="AH106" i="2" s="1"/>
  <c r="AI8" i="2"/>
  <c r="AI104" i="2" s="1"/>
  <c r="AI106" i="2" s="1"/>
  <c r="AJ8" i="2"/>
  <c r="AJ104" i="2" s="1"/>
  <c r="AJ106" i="2" s="1"/>
  <c r="AK8" i="2"/>
  <c r="AK104" i="2" s="1"/>
  <c r="AK106" i="2" s="1"/>
  <c r="AL8" i="2"/>
  <c r="AL104" i="2" s="1"/>
  <c r="AL106" i="2" s="1"/>
  <c r="AM8" i="2"/>
  <c r="AM104" i="2" s="1"/>
  <c r="AM106" i="2" s="1"/>
  <c r="AN8" i="2"/>
  <c r="AN104" i="2" s="1"/>
  <c r="AN106" i="2" s="1"/>
  <c r="AO8" i="2"/>
  <c r="AO104" i="2" s="1"/>
  <c r="AO106" i="2" s="1"/>
  <c r="AP8" i="2"/>
  <c r="AP104" i="2" s="1"/>
  <c r="AP106" i="2" s="1"/>
  <c r="AQ8" i="2"/>
  <c r="AQ104" i="2" s="1"/>
  <c r="AQ106" i="2" s="1"/>
  <c r="AR8" i="2"/>
  <c r="AR104" i="2" s="1"/>
  <c r="AR106" i="2" s="1"/>
  <c r="AS8" i="2"/>
  <c r="AS104" i="2" s="1"/>
  <c r="AS106" i="2" s="1"/>
  <c r="AT8" i="2"/>
  <c r="AT104" i="2" s="1"/>
  <c r="AT106" i="2" s="1"/>
  <c r="AU8" i="2"/>
  <c r="AW8" i="2"/>
  <c r="AW104" i="2" s="1"/>
  <c r="AW106" i="2" s="1"/>
  <c r="AX8" i="2"/>
  <c r="AX104" i="2" s="1"/>
  <c r="AX106" i="2" s="1"/>
  <c r="AY8" i="2"/>
  <c r="AY104" i="2" s="1"/>
  <c r="AY106" i="2" s="1"/>
  <c r="AZ8" i="2"/>
  <c r="AZ104" i="2" s="1"/>
  <c r="AZ106" i="2" s="1"/>
  <c r="C8" i="2"/>
  <c r="C104" i="2" s="1"/>
  <c r="C106" i="2" s="1"/>
  <c r="N4" i="5" l="1"/>
  <c r="F14" i="5" s="1"/>
  <c r="M4" i="5"/>
  <c r="E14" i="5" s="1"/>
  <c r="K4" i="5"/>
  <c r="C14" i="5" s="1"/>
  <c r="L4" i="5"/>
  <c r="D14" i="5" s="1"/>
  <c r="AU104" i="2"/>
  <c r="AU106" i="2" s="1"/>
  <c r="AX112" i="2" s="1"/>
  <c r="F4" i="5" s="1"/>
  <c r="H104" i="2"/>
  <c r="H106" i="2" s="1"/>
  <c r="AX111" i="2" s="1"/>
  <c r="E4" i="5" s="1"/>
  <c r="E6" i="5" s="1"/>
  <c r="E13" i="5" s="1"/>
  <c r="E15" i="5" s="1"/>
  <c r="H21" i="5" s="1"/>
  <c r="D104" i="2"/>
  <c r="D106" i="2" s="1"/>
  <c r="AX110" i="2" s="1"/>
  <c r="D4" i="5" s="1"/>
  <c r="D6" i="5" s="1"/>
  <c r="D13" i="5" s="1"/>
  <c r="D15" i="5" s="1"/>
  <c r="G21" i="5" s="1"/>
  <c r="AX109" i="2"/>
  <c r="F5" i="5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10" i="2"/>
  <c r="S105" i="2" s="1"/>
  <c r="AF105" i="2" l="1"/>
  <c r="AV105" i="2"/>
  <c r="AX113" i="2"/>
  <c r="C4" i="5" s="1"/>
  <c r="C6" i="5" s="1"/>
  <c r="C13" i="5" s="1"/>
  <c r="C15" i="5" s="1"/>
  <c r="F21" i="5" s="1"/>
  <c r="F23" i="5" s="1"/>
  <c r="F6" i="5"/>
  <c r="F13" i="5" s="1"/>
  <c r="F15" i="5" s="1"/>
  <c r="I21" i="5" s="1"/>
  <c r="I23" i="5" s="1"/>
  <c r="AV7" i="2"/>
  <c r="AV8" i="2" s="1"/>
  <c r="AV104" i="2" s="1"/>
  <c r="AV106" i="2" s="1"/>
  <c r="AF7" i="2"/>
  <c r="AF8" i="2" s="1"/>
  <c r="AF104" i="2" s="1"/>
  <c r="AF106" i="2" s="1"/>
  <c r="S7" i="2"/>
  <c r="S8" i="2" s="1"/>
  <c r="S104" i="2" s="1"/>
  <c r="S106" i="2" s="1"/>
  <c r="S8" i="4"/>
  <c r="S7" i="4"/>
  <c r="S6" i="4"/>
  <c r="S5" i="4"/>
  <c r="G23" i="5"/>
  <c r="H23" i="5"/>
</calcChain>
</file>

<file path=xl/sharedStrings.xml><?xml version="1.0" encoding="utf-8"?>
<sst xmlns="http://schemas.openxmlformats.org/spreadsheetml/2006/main" count="311" uniqueCount="204">
  <si>
    <t>USN</t>
  </si>
  <si>
    <t>ASSIGNMENT</t>
  </si>
  <si>
    <t>Maximum Marks</t>
  </si>
  <si>
    <t>Q1</t>
  </si>
  <si>
    <t>Q2</t>
  </si>
  <si>
    <t>Q3</t>
  </si>
  <si>
    <t>Q4</t>
  </si>
  <si>
    <t>Q5</t>
  </si>
  <si>
    <t>Q6</t>
  </si>
  <si>
    <t>Q7</t>
  </si>
  <si>
    <t>CO Attainment = B/A</t>
  </si>
  <si>
    <t>SEM</t>
  </si>
  <si>
    <t>SUB</t>
  </si>
  <si>
    <t>Year</t>
  </si>
  <si>
    <t>INTERNAL ASSESMENT-1</t>
  </si>
  <si>
    <t>INTERNAL ASSESSMENT - 2</t>
  </si>
  <si>
    <t>INTERNAL ASSESSMENT - 3</t>
  </si>
  <si>
    <t>TOT</t>
  </si>
  <si>
    <t>TEST</t>
  </si>
  <si>
    <t>FINAL</t>
  </si>
  <si>
    <t>CO's</t>
  </si>
  <si>
    <t>CO1</t>
  </si>
  <si>
    <t>CO2</t>
  </si>
  <si>
    <t>CO3</t>
  </si>
  <si>
    <t>CO4</t>
  </si>
  <si>
    <t>Sl.No</t>
  </si>
  <si>
    <t>Question no.</t>
  </si>
  <si>
    <t>CIE Target &gt;=60%of the max marks</t>
  </si>
  <si>
    <t>QUIZ</t>
  </si>
  <si>
    <t>SEE</t>
  </si>
  <si>
    <t xml:space="preserve">CO-PO MAPPING
</t>
  </si>
  <si>
    <t>Target set in %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</si>
  <si>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</si>
  <si>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</si>
  <si>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</si>
  <si>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</si>
  <si>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</si>
  <si>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</si>
  <si>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</si>
  <si>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</si>
  <si>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</si>
  <si>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</si>
  <si>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</si>
  <si>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PSO1</t>
  </si>
  <si>
    <t>PSO2</t>
  </si>
  <si>
    <t>PSO3</t>
  </si>
  <si>
    <t>Average</t>
  </si>
  <si>
    <t>Cos</t>
  </si>
  <si>
    <t>COs</t>
  </si>
  <si>
    <t>Direct CO-Attainment</t>
  </si>
  <si>
    <t>CIE</t>
  </si>
  <si>
    <t>CIE CO-Attainment</t>
  </si>
  <si>
    <t>IA</t>
  </si>
  <si>
    <t>IA(1+2+3)</t>
  </si>
  <si>
    <t>SEE CO-Attainment</t>
  </si>
  <si>
    <t>Direct</t>
  </si>
  <si>
    <t>CES</t>
  </si>
  <si>
    <t>CIE*60% +SEE*40%</t>
  </si>
  <si>
    <t>In-Direct CO-Attainment</t>
  </si>
  <si>
    <t>Final CO-Attainment</t>
  </si>
  <si>
    <t>IN-DIRECT CO-ATTAINMENT</t>
  </si>
  <si>
    <t>DIRECT CO-ATTAINMENT</t>
  </si>
  <si>
    <t>FINAL CO-ATTAINMENT</t>
  </si>
  <si>
    <t>COURSE END SURVEY (CES)</t>
  </si>
  <si>
    <r>
      <t>Course Outcomes :</t>
    </r>
    <r>
      <rPr>
        <sz val="11"/>
        <color indexed="8"/>
        <rFont val="Calibri"/>
        <family val="1"/>
      </rPr>
      <t xml:space="preserve"> </t>
    </r>
    <r>
      <rPr>
        <b/>
        <sz val="12"/>
        <color indexed="8"/>
        <rFont val="Times New Roman"/>
        <family val="1"/>
      </rPr>
      <t>After completion of the course, the graduates will be able to</t>
    </r>
  </si>
  <si>
    <t>SCALE</t>
  </si>
  <si>
    <t>RESPONSES</t>
  </si>
  <si>
    <t>%</t>
  </si>
  <si>
    <t>WEIGHTAGE</t>
  </si>
  <si>
    <t>STRONGLY AGREE</t>
  </si>
  <si>
    <t>AGREE</t>
  </si>
  <si>
    <t>TOTAL</t>
  </si>
  <si>
    <t>Process used for Indirect Assessment ( Course End Survey)</t>
  </si>
  <si>
    <t>IN-Direct</t>
  </si>
  <si>
    <t>LEVEL</t>
  </si>
  <si>
    <t>PO attainment =(C0 Attainment in %) X ( CO-PO mapping level)</t>
  </si>
  <si>
    <t>PO1 = 86.67% X 3 =2.6 or 86.66%</t>
  </si>
  <si>
    <t>Example of PO-Attainment calculation</t>
  </si>
  <si>
    <t>Batch</t>
  </si>
  <si>
    <t>Direct*90% + In-Direcr*10%</t>
  </si>
  <si>
    <t>PO1= CO2 attainment in % X CO2-PO2 mapping Level</t>
  </si>
  <si>
    <t>PO4 = (CO3X3+CO4X3)/2</t>
  </si>
  <si>
    <t>FINAL DIRECT PO-ATTAINMENT</t>
  </si>
  <si>
    <t>Attainment in Levels</t>
  </si>
  <si>
    <t>Attainment in %</t>
  </si>
  <si>
    <t>Sem</t>
  </si>
  <si>
    <t xml:space="preserve"> Year</t>
  </si>
  <si>
    <t>VI</t>
  </si>
  <si>
    <t>EVEN Sem</t>
  </si>
  <si>
    <t xml:space="preserve">PYTHON PROGRAMMING </t>
  </si>
  <si>
    <t>Adapt good software engineering practices and demonstrate programming skills to develop an application.</t>
  </si>
  <si>
    <t>1,3</t>
  </si>
  <si>
    <t>2021-22 Batch</t>
  </si>
  <si>
    <t xml:space="preserve">Analyze the given Python program and debug for syntax and logical errors. </t>
  </si>
  <si>
    <t>Apply the fundamental Python syntax and semantics to solve simple computational problems and interpret the concepts programming in Python.</t>
  </si>
  <si>
    <t>Develop programs to solve variety of problem statements by implementing appropriate logic and programming techniques.</t>
  </si>
  <si>
    <t>1DS21ET001</t>
  </si>
  <si>
    <t>1DS21ET002</t>
  </si>
  <si>
    <t>1DS21ET003</t>
  </si>
  <si>
    <t>1DS21ET004</t>
  </si>
  <si>
    <t>1DS21ET005</t>
  </si>
  <si>
    <t>1DS21ET006</t>
  </si>
  <si>
    <t>1DS21ET007</t>
  </si>
  <si>
    <t>1DS21ET008</t>
  </si>
  <si>
    <t>1DS21ET009</t>
  </si>
  <si>
    <t>1DS21ET011</t>
  </si>
  <si>
    <t>1DS21ET012</t>
  </si>
  <si>
    <t>1DS21ET013</t>
  </si>
  <si>
    <t>1DS21ET015</t>
  </si>
  <si>
    <t>1DS21ET016</t>
  </si>
  <si>
    <t>1DS21ET017</t>
  </si>
  <si>
    <t>1DS21ET018</t>
  </si>
  <si>
    <t>1DS21ET019</t>
  </si>
  <si>
    <t>1DS21ET020</t>
  </si>
  <si>
    <t>1DS21ET021</t>
  </si>
  <si>
    <t>1DS21ET022</t>
  </si>
  <si>
    <t>1DS21ET023</t>
  </si>
  <si>
    <t>1DS21ET024</t>
  </si>
  <si>
    <t>1DS21ET025</t>
  </si>
  <si>
    <t>1DS21ET028</t>
  </si>
  <si>
    <t>1DS21ET029</t>
  </si>
  <si>
    <t>1DS21ET030</t>
  </si>
  <si>
    <t>1DS21ET031</t>
  </si>
  <si>
    <t>1DS21ET032</t>
  </si>
  <si>
    <t>1DS21ET033</t>
  </si>
  <si>
    <t>1DS21ET034</t>
  </si>
  <si>
    <t>1DS21ET035</t>
  </si>
  <si>
    <t>1DS21ET036</t>
  </si>
  <si>
    <t>1DS21ET037</t>
  </si>
  <si>
    <t>1DS21ET038</t>
  </si>
  <si>
    <t>1DS21ET039</t>
  </si>
  <si>
    <t>1DS21ET040</t>
  </si>
  <si>
    <t>1DS21ET042</t>
  </si>
  <si>
    <t>1DS21ET043</t>
  </si>
  <si>
    <t>1DS21ET044</t>
  </si>
  <si>
    <t>1DS21ET046</t>
  </si>
  <si>
    <t>1DS21ET048</t>
  </si>
  <si>
    <t>1DS21ET050</t>
  </si>
  <si>
    <t>1DS21ET051</t>
  </si>
  <si>
    <t>1DS21ET052</t>
  </si>
  <si>
    <t>1DS21ET053</t>
  </si>
  <si>
    <t>1DS21ET055</t>
  </si>
  <si>
    <t>1DS22ET400</t>
  </si>
  <si>
    <t>1DS22ET404</t>
  </si>
  <si>
    <t>1DS22ET409</t>
  </si>
  <si>
    <t>Q8</t>
  </si>
  <si>
    <t>2,3</t>
  </si>
  <si>
    <t>AAT (ASSGN)</t>
  </si>
  <si>
    <t>DISAGREE</t>
  </si>
  <si>
    <t>1DS21ET057</t>
  </si>
  <si>
    <t>1DS21ET059</t>
  </si>
  <si>
    <t>1DS21ET060</t>
  </si>
  <si>
    <t>1DS21ET063</t>
  </si>
  <si>
    <t xml:space="preserve">1DS21ET064 </t>
  </si>
  <si>
    <t>1DS21ET067</t>
  </si>
  <si>
    <t>1DS21ET068</t>
  </si>
  <si>
    <t>1DS21ET070</t>
  </si>
  <si>
    <t xml:space="preserve">1DS21ET071 </t>
  </si>
  <si>
    <t>1DS21ET073</t>
  </si>
  <si>
    <t>1DS21ET074</t>
  </si>
  <si>
    <t>1DS21ET075</t>
  </si>
  <si>
    <t>1DS21ET076</t>
  </si>
  <si>
    <t>1DS21ET077</t>
  </si>
  <si>
    <t>1DS21ET078</t>
  </si>
  <si>
    <t>1DS21ET079</t>
  </si>
  <si>
    <t>1DS21ET080</t>
  </si>
  <si>
    <t>1DS21ET081</t>
  </si>
  <si>
    <t>1DS21ET082</t>
  </si>
  <si>
    <t>1DS21ET083</t>
  </si>
  <si>
    <t>1DS21ET084</t>
  </si>
  <si>
    <t xml:space="preserve">1DS21ET085 </t>
  </si>
  <si>
    <t>1DS21ET086</t>
  </si>
  <si>
    <t>1DS21ET087</t>
  </si>
  <si>
    <t>1DS21ET090</t>
  </si>
  <si>
    <t>1DS21ET091</t>
  </si>
  <si>
    <t>1DS21ET092</t>
  </si>
  <si>
    <t>1DS21ET093</t>
  </si>
  <si>
    <t>1DS21ET094</t>
  </si>
  <si>
    <t xml:space="preserve">1DS21ET095 </t>
  </si>
  <si>
    <t>1DS21ET096</t>
  </si>
  <si>
    <t>1DS21ET100</t>
  </si>
  <si>
    <t>1DS21ET101</t>
  </si>
  <si>
    <t xml:space="preserve">1DS21ET102 </t>
  </si>
  <si>
    <t>1DS21ET103</t>
  </si>
  <si>
    <t>1DS21ET104</t>
  </si>
  <si>
    <t>1DS21ET105</t>
  </si>
  <si>
    <t xml:space="preserve">1DS21ET106 </t>
  </si>
  <si>
    <t>1DS21ET107</t>
  </si>
  <si>
    <t>1DS21ET108</t>
  </si>
  <si>
    <t>1DS21ET109</t>
  </si>
  <si>
    <t xml:space="preserve">1DS21ET110 </t>
  </si>
  <si>
    <t>1DS21ET111</t>
  </si>
  <si>
    <t>1DS22ET412</t>
  </si>
  <si>
    <t>1DS22ET421</t>
  </si>
  <si>
    <t>count &gt;60%</t>
  </si>
  <si>
    <t xml:space="preserve"> count of attended</t>
  </si>
  <si>
    <t>cos</t>
  </si>
  <si>
    <t>Qusetions to CO mapping table</t>
  </si>
  <si>
    <t>IA attainment</t>
  </si>
  <si>
    <t>CO 1 2 3 4</t>
  </si>
  <si>
    <t>NE</t>
  </si>
  <si>
    <t>1 2 3 4</t>
  </si>
  <si>
    <t>verification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</si>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</sst>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indexed="8"/>
      <name val="Perpetua"/>
      <family val="2"/>
    </font>
    <font>
      <b/>
      <sz val="12"/>
      <color indexed="8"/>
      <name val="Times New Roman"/>
      <family val="1"/>
    </font>
    <font>
      <b/>
      <sz val="11"/>
      <color indexed="8"/>
      <name val="Perpetua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indexed="12"/>
      <name val="Perpetua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Times New Roman"/>
      <family val="1"/>
    </font>
    <font>
      <b/>
      <sz val="12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9E7E7"/>
        <bgColor indexed="64"/>
      </patternFill>
    </fill>
    <fill>
      <patternFill patternType="solid">
        <fgColor rgb="FFD8BEB6"/>
        <bgColor indexed="64"/>
      </patternFill>
    </fill>
    <fill>
      <patternFill patternType="solid">
        <fgColor rgb="FFA5A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19" fillId="0" borderId="0">
      <alignment vertical="center"/>
    </xf>
    <xf numFmtId="0" fontId="19" fillId="0" borderId="0"/>
  </cellStyleXfs>
  <cellXfs count="114">
    <xf numFmtId="0" fontId="0" fillId="0" borderId="0" xfId="0"/>
    <xf numFmtId="0" fontId="0" fillId="0" borderId="5" xfId="0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 wrapText="1"/>
    </xf>
    <xf numFmtId="0" fontId="5" fillId="7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0" fontId="8" fillId="0" borderId="5" xfId="0" applyFont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9" fillId="2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justify" vertic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12" borderId="5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/>
    <xf numFmtId="10" fontId="16" fillId="0" borderId="0" xfId="0" applyNumberFormat="1" applyFont="1" applyAlignment="1">
      <alignment horizontal="center"/>
    </xf>
    <xf numFmtId="0" fontId="4" fillId="18" borderId="5" xfId="0" applyFont="1" applyFill="1" applyBorder="1" applyAlignment="1">
      <alignment vertical="center" wrapText="1"/>
    </xf>
    <xf numFmtId="10" fontId="4" fillId="0" borderId="0" xfId="0" applyNumberFormat="1" applyFont="1"/>
    <xf numFmtId="0" fontId="0" fillId="20" borderId="0" xfId="0" applyFill="1"/>
    <xf numFmtId="0" fontId="12" fillId="0" borderId="5" xfId="0" applyFont="1" applyBorder="1" applyAlignment="1">
      <alignment horizontal="center" vertical="center" wrapText="1"/>
    </xf>
    <xf numFmtId="0" fontId="1" fillId="11" borderId="5" xfId="0" applyFont="1" applyFill="1" applyBorder="1"/>
    <xf numFmtId="0" fontId="0" fillId="22" borderId="5" xfId="0" applyFill="1" applyBorder="1"/>
    <xf numFmtId="0" fontId="0" fillId="14" borderId="5" xfId="0" applyFill="1" applyBorder="1"/>
    <xf numFmtId="0" fontId="0" fillId="0" borderId="0" xfId="0" applyAlignment="1">
      <alignment wrapText="1"/>
    </xf>
    <xf numFmtId="0" fontId="3" fillId="9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9" fillId="0" borderId="5" xfId="2" applyBorder="1">
      <alignment vertical="center"/>
    </xf>
    <xf numFmtId="0" fontId="19" fillId="0" borderId="11" xfId="2" applyBorder="1">
      <alignment vertical="center"/>
    </xf>
    <xf numFmtId="0" fontId="4" fillId="6" borderId="8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9" fontId="10" fillId="0" borderId="5" xfId="0" applyNumberFormat="1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9" fillId="0" borderId="8" xfId="2" applyBorder="1">
      <alignment vertical="center"/>
    </xf>
    <xf numFmtId="0" fontId="4" fillId="0" borderId="0" xfId="0" applyFont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12" fillId="0" borderId="0" xfId="0" applyFont="1" applyAlignment="1">
      <alignment horizontal="justify" vertical="center" wrapText="1"/>
    </xf>
    <xf numFmtId="0" fontId="14" fillId="18" borderId="5" xfId="0" applyFont="1" applyFill="1" applyBorder="1" applyAlignment="1">
      <alignment horizontal="center" wrapText="1"/>
    </xf>
    <xf numFmtId="0" fontId="14" fillId="18" borderId="5" xfId="0" applyFont="1" applyFill="1" applyBorder="1"/>
    <xf numFmtId="0" fontId="14" fillId="18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wrapText="1"/>
    </xf>
    <xf numFmtId="0" fontId="22" fillId="0" borderId="0" xfId="0" applyFont="1" applyAlignment="1">
      <alignment vertical="center"/>
    </xf>
    <xf numFmtId="0" fontId="19" fillId="0" borderId="7" xfId="2" applyBorder="1">
      <alignment vertical="center"/>
    </xf>
    <xf numFmtId="0" fontId="19" fillId="0" borderId="3" xfId="2" applyBorder="1">
      <alignment vertical="center"/>
    </xf>
    <xf numFmtId="0" fontId="19" fillId="0" borderId="12" xfId="2" applyBorder="1">
      <alignment vertical="center"/>
    </xf>
    <xf numFmtId="0" fontId="4" fillId="0" borderId="8" xfId="0" applyFont="1" applyBorder="1" applyAlignment="1">
      <alignment horizontal="center"/>
    </xf>
    <xf numFmtId="0" fontId="23" fillId="0" borderId="5" xfId="0" applyFont="1" applyBorder="1"/>
    <xf numFmtId="0" fontId="23" fillId="0" borderId="7" xfId="0" applyFont="1" applyBorder="1"/>
    <xf numFmtId="0" fontId="24" fillId="2" borderId="5" xfId="0" applyFont="1" applyFill="1" applyBorder="1" applyAlignment="1">
      <alignment horizontal="left" vertical="center" wrapText="1"/>
    </xf>
    <xf numFmtId="0" fontId="25" fillId="0" borderId="5" xfId="0" applyFont="1" applyBorder="1"/>
    <xf numFmtId="0" fontId="25" fillId="0" borderId="7" xfId="0" applyFont="1" applyBorder="1"/>
    <xf numFmtId="0" fontId="1" fillId="10" borderId="5" xfId="0" applyFont="1" applyFill="1" applyBorder="1" applyAlignment="1">
      <alignment horizontal="center" vertical="center"/>
    </xf>
    <xf numFmtId="0" fontId="0" fillId="19" borderId="0" xfId="0" applyFill="1" applyAlignment="1">
      <alignment wrapText="1"/>
    </xf>
    <xf numFmtId="0" fontId="0" fillId="19" borderId="0" xfId="0" applyFill="1"/>
    <xf numFmtId="0" fontId="6" fillId="0" borderId="5" xfId="0" applyFont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13" fillId="16" borderId="5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18" borderId="5" xfId="0" applyFont="1" applyFill="1" applyBorder="1" applyAlignment="1">
      <alignment vertical="center" wrapText="1"/>
    </xf>
    <xf numFmtId="9" fontId="4" fillId="5" borderId="5" xfId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4" fillId="19" borderId="0" xfId="0" applyFont="1" applyFill="1" applyAlignment="1">
      <alignment horizontal="left" vertical="top" wrapText="1"/>
    </xf>
    <xf numFmtId="0" fontId="14" fillId="5" borderId="5" xfId="0" applyFont="1" applyFill="1" applyBorder="1" applyAlignment="1">
      <alignment horizontal="center" wrapText="1"/>
    </xf>
    <xf numFmtId="0" fontId="15" fillId="5" borderId="5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21" borderId="10" xfId="0" applyFill="1" applyBorder="1" applyAlignment="1">
      <alignment horizontal="center"/>
    </xf>
    <xf numFmtId="2" fontId="20" fillId="0" borderId="5" xfId="0" applyNumberFormat="1" applyFont="1" applyBorder="1" applyAlignment="1">
      <alignment horizontal="center" vertical="center" wrapText="1"/>
    </xf>
    <xf numFmtId="2" fontId="21" fillId="0" borderId="5" xfId="0" applyNumberFormat="1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2" fontId="0" fillId="0" borderId="5" xfId="0" applyNumberFormat="1" applyBorder="1"/>
    <xf numFmtId="2" fontId="0" fillId="22" borderId="5" xfId="0" applyNumberFormat="1" applyFill="1" applyBorder="1"/>
    <xf numFmtId="2" fontId="0" fillId="14" borderId="5" xfId="0" applyNumberFormat="1" applyFill="1" applyBorder="1"/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3</xdr:row>
      <xdr:rowOff>177800</xdr:rowOff>
    </xdr:from>
    <xdr:to>
      <xdr:col>5</xdr:col>
      <xdr:colOff>361950</xdr:colOff>
      <xdr:row>6</xdr:row>
      <xdr:rowOff>25400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BAAACE2-3742-75A3-4834-AB902F09092C}"/>
            </a:ext>
          </a:extLst>
        </xdr:cNvPr>
        <xdr:cNvCxnSpPr/>
      </xdr:nvCxnSpPr>
      <xdr:spPr>
        <a:xfrm>
          <a:off x="2882900" y="730250"/>
          <a:ext cx="52705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355600</xdr:colOff>
      <xdr:row>4</xdr:row>
      <xdr:rowOff>0</xdr:rowOff>
    </xdr:from>
    <xdr:to>
      <xdr:col>6</xdr:col>
      <xdr:colOff>260350</xdr:colOff>
      <xdr:row>5</xdr:row>
      <xdr:rowOff>165100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93BB60F-0AC6-72D7-C3E5-B16FEE3B8C79}"/>
            </a:ext>
          </a:extLst>
        </xdr:cNvPr>
        <xdr:cNvCxnSpPr/>
      </xdr:nvCxnSpPr>
      <xdr:spPr>
        <a:xfrm flipH="1">
          <a:off x="3403600" y="736600"/>
          <a:ext cx="514350" cy="349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374650</xdr:colOff>
      <xdr:row>4</xdr:row>
      <xdr:rowOff>6350</xdr:rowOff>
    </xdr:from>
    <xdr:to>
      <xdr:col>8</xdr:col>
      <xdr:colOff>571500</xdr:colOff>
      <xdr:row>5</xdr:row>
      <xdr:rowOff>165100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90B2C1D-7A43-4F73-A5EF-D343C8FB6869}"/>
            </a:ext>
          </a:extLst>
        </xdr:cNvPr>
        <xdr:cNvCxnSpPr/>
      </xdr:nvCxnSpPr>
      <xdr:spPr>
        <a:xfrm flipH="1">
          <a:off x="3422650" y="742950"/>
          <a:ext cx="20256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</xdr:row>
      <xdr:rowOff>6350</xdr:rowOff>
    </xdr:from>
    <xdr:to>
      <xdr:col>6</xdr:col>
      <xdr:colOff>336550</xdr:colOff>
      <xdr:row>8</xdr:row>
      <xdr:rowOff>177800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FC53B8D-7BB8-0C8C-B133-35A11E5CFDB6}"/>
            </a:ext>
          </a:extLst>
        </xdr:cNvPr>
        <xdr:cNvCxnSpPr/>
      </xdr:nvCxnSpPr>
      <xdr:spPr>
        <a:xfrm>
          <a:off x="3409950" y="1295400"/>
          <a:ext cx="584200" cy="355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7</xdr:row>
      <xdr:rowOff>6350</xdr:rowOff>
    </xdr:from>
    <xdr:to>
      <xdr:col>8</xdr:col>
      <xdr:colOff>304800</xdr:colOff>
      <xdr:row>9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9F2E63C-653C-3ADD-766C-7480F74AAEC7}"/>
            </a:ext>
          </a:extLst>
        </xdr:cNvPr>
        <xdr:cNvCxnSpPr/>
      </xdr:nvCxnSpPr>
      <xdr:spPr>
        <a:xfrm flipH="1">
          <a:off x="4019550" y="1295400"/>
          <a:ext cx="11620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463550</xdr:colOff>
      <xdr:row>10</xdr:row>
      <xdr:rowOff>6350</xdr:rowOff>
    </xdr:from>
    <xdr:to>
      <xdr:col>8</xdr:col>
      <xdr:colOff>273050</xdr:colOff>
      <xdr:row>12</xdr:row>
      <xdr:rowOff>177800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306EC9CC-C6E0-10D2-9FB9-D1432F2B2279}"/>
            </a:ext>
          </a:extLst>
        </xdr:cNvPr>
        <xdr:cNvCxnSpPr/>
      </xdr:nvCxnSpPr>
      <xdr:spPr>
        <a:xfrm>
          <a:off x="4121150" y="1847850"/>
          <a:ext cx="1028700" cy="539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279400</xdr:colOff>
      <xdr:row>10</xdr:row>
      <xdr:rowOff>6350</xdr:rowOff>
    </xdr:from>
    <xdr:to>
      <xdr:col>10</xdr:col>
      <xdr:colOff>260350</xdr:colOff>
      <xdr:row>12</xdr:row>
      <xdr:rowOff>152400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36EEBC4C-F884-FE5A-E9A0-72BCC75F8E4C}"/>
            </a:ext>
          </a:extLst>
        </xdr:cNvPr>
        <xdr:cNvCxnSpPr/>
      </xdr:nvCxnSpPr>
      <xdr:spPr>
        <a:xfrm flipH="1">
          <a:off x="5156200" y="1847850"/>
          <a:ext cx="120015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184150</xdr:colOff>
      <xdr:row>7</xdr:row>
      <xdr:rowOff>12700</xdr:rowOff>
    </xdr:from>
    <xdr:to>
      <xdr:col>10</xdr:col>
      <xdr:colOff>279400</xdr:colOff>
      <xdr:row>8</xdr:row>
      <xdr:rowOff>171450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883245DE-3540-4198-6EF4-FFEFD005A653}"/>
            </a:ext>
          </a:extLst>
        </xdr:cNvPr>
        <xdr:cNvCxnSpPr/>
      </xdr:nvCxnSpPr>
      <xdr:spPr>
        <a:xfrm flipH="1">
          <a:off x="6280150" y="1301750"/>
          <a:ext cx="952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1123950</xdr:colOff>
      <xdr:row>12</xdr:row>
      <xdr:rowOff>31750</xdr:rowOff>
    </xdr:from>
    <xdr:to>
      <xdr:col>2</xdr:col>
      <xdr:colOff>3061970</xdr:colOff>
      <xdr:row>16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3591B-4483-40C8-0226-6CEB68EFF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43150" y="4019550"/>
          <a:ext cx="1938020" cy="812800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2</xdr:col>
      <xdr:colOff>463550</xdr:colOff>
      <xdr:row>17</xdr:row>
      <xdr:rowOff>127000</xdr:rowOff>
    </xdr:from>
    <xdr:to>
      <xdr:col>3</xdr:col>
      <xdr:colOff>19218</xdr:colOff>
      <xdr:row>22</xdr:row>
      <xdr:rowOff>146099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BACF69-FAC9-3765-F1C8-2FC5920D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2750" y="5035550"/>
          <a:ext cx="3264068" cy="9525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%20data/user/Desktop/Java/2019-23%20java%20attainment/java%20attainment%202019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-PO Mapping"/>
      <sheetName val="CIE+SEE"/>
      <sheetName val="CES"/>
      <sheetName val="CO-Attainment"/>
      <sheetName val="PO-Attainment"/>
    </sheetNames>
    <sheetDataSet>
      <sheetData sheetId="0"/>
      <sheetData sheetId="1"/>
      <sheetData sheetId="2"/>
      <sheetData sheetId="3">
        <row r="24">
          <cell r="F24">
            <v>66.18252698412698</v>
          </cell>
          <cell r="G24">
            <v>68.013957753357772</v>
          </cell>
          <cell r="H24">
            <v>52.542898412698406</v>
          </cell>
          <cell r="I24">
            <v>71.108339484127001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L14"/>
  <sheetViews>
    <sheetView topLeftCell="C1" zoomScaleNormal="100" workbookViewId="0">
      <selection activeCell="O19" sqref="O19"/>
    </sheetView>
  </sheetViews>
  <sheetFormatPr defaultRowHeight="15" x14ac:dyDescent="0.25"/>
  <sheetData>
    <row r="1" spans="5:12" x14ac:dyDescent="0.25">
      <c r="F1" s="27"/>
      <c r="G1" s="27"/>
      <c r="H1" s="27"/>
      <c r="I1" s="27"/>
      <c r="J1" s="27"/>
      <c r="K1" s="27"/>
      <c r="L1" s="27"/>
    </row>
    <row r="2" spans="5:12" x14ac:dyDescent="0.25">
      <c r="F2" s="27"/>
      <c r="G2" s="27"/>
      <c r="H2" s="27"/>
      <c r="I2" s="27"/>
      <c r="J2" s="27"/>
      <c r="K2" s="27"/>
      <c r="L2" s="27"/>
    </row>
    <row r="3" spans="5:12" x14ac:dyDescent="0.25">
      <c r="F3" s="27"/>
      <c r="G3" s="27"/>
      <c r="H3" s="27"/>
      <c r="I3" s="27"/>
      <c r="J3" s="27"/>
      <c r="K3" s="27"/>
      <c r="L3" s="27"/>
    </row>
    <row r="4" spans="5:12" x14ac:dyDescent="0.25">
      <c r="E4" s="28" t="s">
        <v>52</v>
      </c>
      <c r="F4" s="27"/>
      <c r="G4" s="28" t="s">
        <v>28</v>
      </c>
      <c r="H4" s="27"/>
      <c r="I4" s="85" t="s">
        <v>1</v>
      </c>
      <c r="J4" s="85"/>
      <c r="K4" s="27"/>
      <c r="L4" s="27"/>
    </row>
    <row r="5" spans="5:12" x14ac:dyDescent="0.25">
      <c r="F5" s="27"/>
      <c r="G5" s="27"/>
      <c r="H5" s="27"/>
      <c r="I5" s="27"/>
      <c r="J5" s="27"/>
      <c r="K5" s="27"/>
      <c r="L5" s="27"/>
    </row>
    <row r="6" spans="5:12" x14ac:dyDescent="0.25">
      <c r="F6" s="27"/>
      <c r="G6" s="27"/>
      <c r="H6" s="27"/>
      <c r="I6" s="27"/>
      <c r="J6" s="27"/>
      <c r="K6" s="27"/>
      <c r="L6" s="27"/>
    </row>
    <row r="7" spans="5:12" x14ac:dyDescent="0.25">
      <c r="F7" s="29" t="s">
        <v>50</v>
      </c>
      <c r="G7" s="27"/>
      <c r="H7" s="27"/>
      <c r="I7" s="29" t="s">
        <v>29</v>
      </c>
      <c r="J7" s="27"/>
      <c r="K7" s="29" t="s">
        <v>56</v>
      </c>
      <c r="L7" s="27"/>
    </row>
    <row r="8" spans="5:12" x14ac:dyDescent="0.25">
      <c r="F8" s="27"/>
      <c r="G8" s="31">
        <v>0.6</v>
      </c>
      <c r="H8" s="27"/>
      <c r="I8" s="30">
        <v>0.4</v>
      </c>
      <c r="J8" s="27"/>
      <c r="K8" s="27"/>
      <c r="L8" s="27"/>
    </row>
    <row r="9" spans="5:12" x14ac:dyDescent="0.25">
      <c r="F9" s="27"/>
      <c r="G9" s="27"/>
      <c r="H9" s="27"/>
      <c r="I9" s="27"/>
      <c r="J9" s="27"/>
      <c r="K9" s="27"/>
      <c r="L9" s="27"/>
    </row>
    <row r="10" spans="5:12" x14ac:dyDescent="0.25">
      <c r="F10" s="86" t="s">
        <v>61</v>
      </c>
      <c r="G10" s="86"/>
      <c r="H10" s="86"/>
      <c r="I10" s="27"/>
      <c r="J10" s="86" t="s">
        <v>60</v>
      </c>
      <c r="K10" s="86"/>
      <c r="L10" s="86"/>
    </row>
    <row r="12" spans="5:12" x14ac:dyDescent="0.25">
      <c r="H12" s="31">
        <v>0.9</v>
      </c>
      <c r="J12" s="32">
        <v>0.1</v>
      </c>
    </row>
    <row r="14" spans="5:12" x14ac:dyDescent="0.25">
      <c r="H14" s="84" t="s">
        <v>62</v>
      </c>
      <c r="I14" s="84"/>
      <c r="J14" s="84"/>
    </row>
  </sheetData>
  <mergeCells count="4">
    <mergeCell ref="H14:J14"/>
    <mergeCell ref="I4:J4"/>
    <mergeCell ref="J10:L10"/>
    <mergeCell ref="F10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8"/>
  <sheetViews>
    <sheetView workbookViewId="0">
      <selection activeCell="E5" sqref="E5:R8"/>
    </sheetView>
  </sheetViews>
  <sheetFormatPr defaultRowHeight="15" x14ac:dyDescent="0.25"/>
  <cols>
    <col min="3" max="3" width="37.5703125" customWidth="1"/>
    <col min="5" max="13" width="4.140625" bestFit="1" customWidth="1"/>
    <col min="14" max="15" width="5.140625" bestFit="1" customWidth="1"/>
    <col min="16" max="17" width="5" bestFit="1" customWidth="1"/>
    <col min="18" max="18" width="6.7109375" bestFit="1" customWidth="1"/>
    <col min="19" max="19" width="10.85546875" bestFit="1" customWidth="1"/>
    <col min="20" max="20" width="17.85546875" bestFit="1" customWidth="1"/>
  </cols>
  <sheetData>
    <row r="1" spans="2:19" x14ac:dyDescent="0.25">
      <c r="C1" s="1" t="s">
        <v>89</v>
      </c>
      <c r="D1" s="43" t="s">
        <v>92</v>
      </c>
      <c r="E1" s="1"/>
    </row>
    <row r="2" spans="2:19" x14ac:dyDescent="0.25">
      <c r="C2" s="1" t="s">
        <v>86</v>
      </c>
      <c r="D2" s="43">
        <v>2024</v>
      </c>
      <c r="E2" s="1"/>
    </row>
    <row r="3" spans="2:19" x14ac:dyDescent="0.25">
      <c r="C3" s="1" t="s">
        <v>85</v>
      </c>
      <c r="D3" s="43" t="s">
        <v>87</v>
      </c>
      <c r="E3" s="1"/>
    </row>
    <row r="4" spans="2:19" ht="31.5" x14ac:dyDescent="0.3">
      <c r="B4" s="1" t="s">
        <v>48</v>
      </c>
      <c r="C4" s="42" t="s">
        <v>30</v>
      </c>
      <c r="D4" s="51" t="s">
        <v>31</v>
      </c>
      <c r="E4" s="44" t="s">
        <v>32</v>
      </c>
      <c r="F4" s="44" t="s">
        <v>33</v>
      </c>
      <c r="G4" s="44" t="s">
        <v>34</v>
      </c>
      <c r="H4" s="44" t="s">
        <v>35</v>
      </c>
      <c r="I4" s="44" t="s">
        <v>36</v>
      </c>
      <c r="J4" s="44" t="s">
        <v>37</v>
      </c>
      <c r="K4" s="44" t="s">
        <v>38</v>
      </c>
      <c r="L4" s="44" t="s">
        <v>39</v>
      </c>
      <c r="M4" s="44" t="s">
        <v>40</v>
      </c>
      <c r="N4" s="44" t="s">
        <v>41</v>
      </c>
      <c r="O4" s="44" t="s">
        <v>42</v>
      </c>
      <c r="P4" s="44" t="s">
        <v>43</v>
      </c>
      <c r="Q4" s="44" t="s">
        <v>44</v>
      </c>
      <c r="R4" s="44" t="s">
        <v>45</v>
      </c>
      <c r="S4" s="45" t="s">
        <v>46</v>
      </c>
    </row>
    <row r="5" spans="2:19" ht="60" x14ac:dyDescent="0.3">
      <c r="B5" s="1" t="s">
        <v>21</v>
      </c>
      <c r="C5" s="23" t="s">
        <v>94</v>
      </c>
      <c r="D5" s="52">
        <v>0.8</v>
      </c>
      <c r="E5" s="53">
        <v>3</v>
      </c>
      <c r="F5" s="53"/>
      <c r="G5" s="53"/>
      <c r="H5" s="53"/>
      <c r="I5" s="54"/>
      <c r="J5" s="53"/>
      <c r="K5" s="53"/>
      <c r="L5" s="53"/>
      <c r="M5" s="54"/>
      <c r="N5" s="53"/>
      <c r="O5" s="37"/>
      <c r="P5" s="37"/>
      <c r="Q5" s="37"/>
      <c r="R5" s="1"/>
      <c r="S5" s="38">
        <f>SUM(E5:R5)/5</f>
        <v>0.6</v>
      </c>
    </row>
    <row r="6" spans="2:19" ht="30" x14ac:dyDescent="0.3">
      <c r="B6" s="1" t="s">
        <v>22</v>
      </c>
      <c r="C6" s="23" t="s">
        <v>93</v>
      </c>
      <c r="D6" s="52">
        <v>0.8</v>
      </c>
      <c r="E6" s="53"/>
      <c r="F6" s="53">
        <v>3</v>
      </c>
      <c r="G6" s="53"/>
      <c r="H6" s="53">
        <v>2</v>
      </c>
      <c r="I6" s="54"/>
      <c r="J6" s="53"/>
      <c r="K6" s="53"/>
      <c r="L6" s="53"/>
      <c r="M6" s="54"/>
      <c r="N6" s="53"/>
      <c r="O6" s="37"/>
      <c r="P6" s="37"/>
      <c r="Q6" s="37"/>
      <c r="R6" s="1"/>
      <c r="S6" s="38">
        <f>SUM(E6:R6)/5</f>
        <v>1</v>
      </c>
    </row>
    <row r="7" spans="2:19" ht="60" x14ac:dyDescent="0.3">
      <c r="B7" s="1" t="s">
        <v>23</v>
      </c>
      <c r="C7" s="23" t="s">
        <v>95</v>
      </c>
      <c r="D7" s="52">
        <v>0.8</v>
      </c>
      <c r="E7" s="53"/>
      <c r="F7" s="53"/>
      <c r="G7" s="53">
        <v>3</v>
      </c>
      <c r="H7" s="53">
        <v>2</v>
      </c>
      <c r="I7" s="54"/>
      <c r="J7" s="53"/>
      <c r="K7" s="53"/>
      <c r="L7" s="53"/>
      <c r="M7" s="54"/>
      <c r="N7" s="53"/>
      <c r="O7" s="37"/>
      <c r="P7" s="37"/>
      <c r="Q7" s="37"/>
      <c r="R7" s="1"/>
      <c r="S7" s="38">
        <f>SUM(E7:R7)/5</f>
        <v>1</v>
      </c>
    </row>
    <row r="8" spans="2:19" ht="45" x14ac:dyDescent="0.3">
      <c r="B8" s="1" t="s">
        <v>24</v>
      </c>
      <c r="C8" s="23" t="s">
        <v>90</v>
      </c>
      <c r="D8" s="52">
        <v>0.8</v>
      </c>
      <c r="E8" s="53"/>
      <c r="F8" s="53"/>
      <c r="G8" s="53"/>
      <c r="H8" s="53">
        <v>2</v>
      </c>
      <c r="I8" s="54">
        <v>2</v>
      </c>
      <c r="J8" s="53"/>
      <c r="K8" s="53"/>
      <c r="L8" s="53"/>
      <c r="M8" s="54">
        <v>1</v>
      </c>
      <c r="N8" s="53">
        <v>1</v>
      </c>
      <c r="O8" s="37"/>
      <c r="P8" s="37"/>
      <c r="Q8" s="37">
        <v>1</v>
      </c>
      <c r="R8" s="1">
        <v>1</v>
      </c>
      <c r="S8" s="38">
        <f>SUM(E8:R8)/5</f>
        <v>1.6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33"/>
  <sheetViews>
    <sheetView topLeftCell="AJ5" workbookViewId="0">
      <pane ySplit="1" topLeftCell="A102" activePane="bottomLeft" state="frozen"/>
      <selection activeCell="A5" sqref="A5"/>
      <selection pane="bottomLeft" activeCell="AX106" sqref="AX106"/>
    </sheetView>
  </sheetViews>
  <sheetFormatPr defaultRowHeight="15" x14ac:dyDescent="0.25"/>
  <cols>
    <col min="2" max="2" width="19.42578125" customWidth="1"/>
    <col min="3" max="3" width="11.42578125" bestFit="1" customWidth="1"/>
    <col min="4" max="11" width="9.5703125" bestFit="1" customWidth="1"/>
    <col min="12" max="14" width="9.28515625" bestFit="1" customWidth="1"/>
    <col min="15" max="16" width="9.28515625" customWidth="1"/>
    <col min="17" max="18" width="9.5703125" bestFit="1" customWidth="1"/>
    <col min="21" max="23" width="9.5703125" bestFit="1" customWidth="1"/>
    <col min="24" max="24" width="9.5703125" customWidth="1"/>
    <col min="25" max="25" width="9.5703125" bestFit="1" customWidth="1"/>
    <col min="26" max="26" width="9.5703125" customWidth="1"/>
    <col min="27" max="27" width="9.5703125" bestFit="1" customWidth="1"/>
    <col min="28" max="28" width="9.5703125" customWidth="1"/>
    <col min="29" max="29" width="9.5703125" bestFit="1" customWidth="1"/>
    <col min="30" max="30" width="9.5703125" customWidth="1"/>
    <col min="31" max="31" width="9.5703125" bestFit="1" customWidth="1"/>
    <col min="34" max="37" width="9.5703125" bestFit="1" customWidth="1"/>
    <col min="38" max="38" width="10.5703125" bestFit="1" customWidth="1"/>
    <col min="39" max="39" width="9.5703125" bestFit="1" customWidth="1"/>
    <col min="40" max="40" width="10.5703125" bestFit="1" customWidth="1"/>
    <col min="41" max="41" width="9.5703125" bestFit="1" customWidth="1"/>
    <col min="42" max="45" width="10.5703125" bestFit="1" customWidth="1"/>
    <col min="46" max="46" width="9.5703125" bestFit="1" customWidth="1"/>
    <col min="47" max="47" width="9.5703125" customWidth="1"/>
    <col min="50" max="50" width="12.42578125" bestFit="1" customWidth="1"/>
    <col min="52" max="52" width="9.5703125" bestFit="1" customWidth="1"/>
  </cols>
  <sheetData>
    <row r="1" spans="1:52" hidden="1" x14ac:dyDescent="0.25">
      <c r="A1" s="3" t="s">
        <v>11</v>
      </c>
      <c r="B1" s="4" t="s">
        <v>87</v>
      </c>
      <c r="C1" s="5" t="s">
        <v>88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2" hidden="1" x14ac:dyDescent="0.25">
      <c r="A2" s="7" t="s">
        <v>12</v>
      </c>
      <c r="B2" s="76" t="s">
        <v>89</v>
      </c>
      <c r="C2" s="76"/>
      <c r="D2" s="7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2" hidden="1" x14ac:dyDescent="0.25">
      <c r="A3" s="4" t="s">
        <v>78</v>
      </c>
      <c r="B3" s="8" t="s">
        <v>92</v>
      </c>
      <c r="C3" s="5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52" hidden="1" x14ac:dyDescent="0.25">
      <c r="A4" s="9" t="s">
        <v>13</v>
      </c>
      <c r="B4" s="9">
        <v>2024</v>
      </c>
      <c r="C4" s="9"/>
      <c r="D4" s="77" t="s">
        <v>14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50"/>
      <c r="U4" s="78" t="s">
        <v>15</v>
      </c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57"/>
      <c r="AH4" s="79" t="s">
        <v>16</v>
      </c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1"/>
      <c r="AW4" s="10"/>
      <c r="AX4" s="10"/>
      <c r="AY4" s="10"/>
      <c r="AZ4" s="1"/>
    </row>
    <row r="5" spans="1:52" x14ac:dyDescent="0.25">
      <c r="A5" s="11"/>
      <c r="B5" s="11" t="s">
        <v>26</v>
      </c>
      <c r="C5" s="82" t="s">
        <v>3</v>
      </c>
      <c r="D5" s="83"/>
      <c r="E5" s="82" t="s">
        <v>4</v>
      </c>
      <c r="F5" s="83"/>
      <c r="G5" s="82" t="s">
        <v>5</v>
      </c>
      <c r="H5" s="83"/>
      <c r="I5" s="82" t="s">
        <v>6</v>
      </c>
      <c r="J5" s="83"/>
      <c r="K5" s="82" t="s">
        <v>7</v>
      </c>
      <c r="L5" s="83"/>
      <c r="M5" s="82" t="s">
        <v>8</v>
      </c>
      <c r="N5" s="83"/>
      <c r="O5" s="82" t="s">
        <v>9</v>
      </c>
      <c r="P5" s="83"/>
      <c r="Q5" s="82" t="s">
        <v>145</v>
      </c>
      <c r="R5" s="83"/>
      <c r="S5" s="11" t="s">
        <v>17</v>
      </c>
      <c r="T5" s="82" t="s">
        <v>3</v>
      </c>
      <c r="U5" s="83"/>
      <c r="V5" s="82" t="s">
        <v>4</v>
      </c>
      <c r="W5" s="83"/>
      <c r="X5" s="82" t="s">
        <v>5</v>
      </c>
      <c r="Y5" s="83"/>
      <c r="Z5" s="82" t="s">
        <v>6</v>
      </c>
      <c r="AA5" s="83"/>
      <c r="AB5" s="48" t="s">
        <v>7</v>
      </c>
      <c r="AC5" s="48" t="s">
        <v>8</v>
      </c>
      <c r="AD5" s="48" t="s">
        <v>9</v>
      </c>
      <c r="AE5" s="48" t="s">
        <v>145</v>
      </c>
      <c r="AF5" s="11" t="s">
        <v>17</v>
      </c>
      <c r="AG5" s="82" t="s">
        <v>3</v>
      </c>
      <c r="AH5" s="83"/>
      <c r="AI5" s="82" t="s">
        <v>4</v>
      </c>
      <c r="AJ5" s="83"/>
      <c r="AK5" s="82" t="s">
        <v>5</v>
      </c>
      <c r="AL5" s="83"/>
      <c r="AM5" s="82" t="s">
        <v>6</v>
      </c>
      <c r="AN5" s="83"/>
      <c r="AO5" s="82" t="s">
        <v>7</v>
      </c>
      <c r="AP5" s="83"/>
      <c r="AQ5" s="82" t="s">
        <v>8</v>
      </c>
      <c r="AR5" s="83"/>
      <c r="AS5" s="82" t="s">
        <v>9</v>
      </c>
      <c r="AT5" s="83"/>
      <c r="AU5" s="49" t="s">
        <v>145</v>
      </c>
      <c r="AV5" s="11" t="s">
        <v>17</v>
      </c>
      <c r="AW5" s="12" t="s">
        <v>18</v>
      </c>
      <c r="AX5" s="12" t="s">
        <v>147</v>
      </c>
      <c r="AY5" s="12" t="s">
        <v>19</v>
      </c>
      <c r="AZ5" s="12" t="s">
        <v>29</v>
      </c>
    </row>
    <row r="6" spans="1:52" x14ac:dyDescent="0.25">
      <c r="A6" s="11"/>
      <c r="B6" s="11" t="s">
        <v>20</v>
      </c>
      <c r="C6" s="11">
        <v>1</v>
      </c>
      <c r="D6" s="11">
        <v>2</v>
      </c>
      <c r="E6" s="11">
        <v>1</v>
      </c>
      <c r="F6" s="11">
        <v>2</v>
      </c>
      <c r="G6" s="11">
        <v>2</v>
      </c>
      <c r="H6" s="11">
        <v>3</v>
      </c>
      <c r="I6" s="11">
        <v>2</v>
      </c>
      <c r="J6" s="11">
        <v>3</v>
      </c>
      <c r="K6" s="11">
        <v>2</v>
      </c>
      <c r="L6" s="11">
        <v>3</v>
      </c>
      <c r="M6" s="11">
        <v>2</v>
      </c>
      <c r="N6" s="11">
        <v>3</v>
      </c>
      <c r="O6" s="11">
        <v>1</v>
      </c>
      <c r="P6" s="11">
        <v>3</v>
      </c>
      <c r="Q6" s="11">
        <v>1</v>
      </c>
      <c r="R6" s="11">
        <v>3</v>
      </c>
      <c r="S6" s="11"/>
      <c r="T6" s="11">
        <v>1</v>
      </c>
      <c r="U6" s="11">
        <v>2</v>
      </c>
      <c r="V6" s="13">
        <v>1</v>
      </c>
      <c r="W6" s="13">
        <v>2</v>
      </c>
      <c r="X6" s="13">
        <v>2</v>
      </c>
      <c r="Y6" s="13">
        <v>3</v>
      </c>
      <c r="Z6" s="13">
        <v>2</v>
      </c>
      <c r="AA6" s="11">
        <v>3</v>
      </c>
      <c r="AB6" s="11" t="s">
        <v>146</v>
      </c>
      <c r="AC6" s="11" t="s">
        <v>146</v>
      </c>
      <c r="AD6" s="11" t="s">
        <v>91</v>
      </c>
      <c r="AE6" s="11" t="s">
        <v>91</v>
      </c>
      <c r="AF6" s="11"/>
      <c r="AG6" s="11">
        <v>2</v>
      </c>
      <c r="AH6" s="11">
        <v>3</v>
      </c>
      <c r="AI6" s="11">
        <v>3</v>
      </c>
      <c r="AJ6" s="11">
        <v>3</v>
      </c>
      <c r="AK6" s="11">
        <v>3</v>
      </c>
      <c r="AL6" s="11">
        <v>3</v>
      </c>
      <c r="AM6" s="11">
        <v>3</v>
      </c>
      <c r="AN6" s="11">
        <v>3</v>
      </c>
      <c r="AO6" s="11">
        <v>2</v>
      </c>
      <c r="AP6" s="11">
        <v>2</v>
      </c>
      <c r="AQ6" s="11">
        <v>3</v>
      </c>
      <c r="AR6" s="11">
        <v>3</v>
      </c>
      <c r="AS6" s="11">
        <v>2</v>
      </c>
      <c r="AT6" s="11">
        <v>2</v>
      </c>
      <c r="AU6" s="11">
        <v>4</v>
      </c>
      <c r="AV6" s="11"/>
      <c r="AW6" s="12"/>
      <c r="AX6" s="14" t="s">
        <v>199</v>
      </c>
      <c r="AY6" s="12"/>
      <c r="AZ6" s="14" t="s">
        <v>201</v>
      </c>
    </row>
    <row r="7" spans="1:52" s="27" customFormat="1" x14ac:dyDescent="0.25">
      <c r="A7" s="11"/>
      <c r="B7" s="11" t="s">
        <v>2</v>
      </c>
      <c r="C7" s="11">
        <v>6</v>
      </c>
      <c r="D7" s="11">
        <v>4</v>
      </c>
      <c r="E7" s="11">
        <v>5</v>
      </c>
      <c r="F7" s="11">
        <v>5</v>
      </c>
      <c r="G7" s="11">
        <v>6</v>
      </c>
      <c r="H7" s="11">
        <v>4</v>
      </c>
      <c r="I7" s="11">
        <v>4</v>
      </c>
      <c r="J7" s="11">
        <v>6</v>
      </c>
      <c r="K7" s="11">
        <v>5</v>
      </c>
      <c r="L7" s="11">
        <v>5</v>
      </c>
      <c r="M7" s="11">
        <v>5</v>
      </c>
      <c r="N7" s="11">
        <v>5</v>
      </c>
      <c r="O7" s="11">
        <v>4</v>
      </c>
      <c r="P7" s="11">
        <v>6</v>
      </c>
      <c r="Q7" s="11">
        <v>4</v>
      </c>
      <c r="R7" s="11">
        <v>6</v>
      </c>
      <c r="S7" s="11">
        <f>SUM(C7:R7)</f>
        <v>80</v>
      </c>
      <c r="T7" s="11">
        <v>5</v>
      </c>
      <c r="U7" s="11">
        <v>5</v>
      </c>
      <c r="V7" s="11">
        <v>5</v>
      </c>
      <c r="W7" s="11">
        <v>5</v>
      </c>
      <c r="X7" s="11">
        <v>5</v>
      </c>
      <c r="Y7" s="11">
        <v>5</v>
      </c>
      <c r="Z7" s="11">
        <v>5</v>
      </c>
      <c r="AA7" s="11">
        <v>5</v>
      </c>
      <c r="AB7" s="11">
        <v>10</v>
      </c>
      <c r="AC7" s="11">
        <v>10</v>
      </c>
      <c r="AD7" s="11">
        <v>10</v>
      </c>
      <c r="AE7" s="11">
        <v>10</v>
      </c>
      <c r="AF7" s="11">
        <f>SUM(T7:AE7)</f>
        <v>80</v>
      </c>
      <c r="AG7" s="11">
        <v>4</v>
      </c>
      <c r="AH7" s="11">
        <v>6</v>
      </c>
      <c r="AI7" s="11">
        <v>5</v>
      </c>
      <c r="AJ7" s="11">
        <v>5</v>
      </c>
      <c r="AK7" s="11">
        <v>6</v>
      </c>
      <c r="AL7" s="11">
        <v>4</v>
      </c>
      <c r="AM7" s="11">
        <v>5</v>
      </c>
      <c r="AN7" s="11">
        <v>5</v>
      </c>
      <c r="AO7" s="11">
        <v>5</v>
      </c>
      <c r="AP7" s="11">
        <v>5</v>
      </c>
      <c r="AQ7" s="11">
        <v>5</v>
      </c>
      <c r="AR7" s="11">
        <v>5</v>
      </c>
      <c r="AS7" s="11">
        <v>5</v>
      </c>
      <c r="AT7" s="11">
        <v>5</v>
      </c>
      <c r="AU7" s="11">
        <v>10</v>
      </c>
      <c r="AV7" s="11">
        <f>SUM(AG7:AU7)</f>
        <v>80</v>
      </c>
      <c r="AW7" s="12">
        <v>30</v>
      </c>
      <c r="AX7" s="12">
        <v>20</v>
      </c>
      <c r="AY7" s="12">
        <v>50</v>
      </c>
      <c r="AZ7" s="12">
        <v>100</v>
      </c>
    </row>
    <row r="8" spans="1:52" ht="30" x14ac:dyDescent="0.25">
      <c r="A8" s="11"/>
      <c r="B8" s="13" t="s">
        <v>27</v>
      </c>
      <c r="C8" s="13">
        <f>0.6*C7</f>
        <v>3.5999999999999996</v>
      </c>
      <c r="D8" s="13">
        <f t="shared" ref="D8:AZ8" si="0">0.6*D7</f>
        <v>2.4</v>
      </c>
      <c r="E8" s="13">
        <f t="shared" si="0"/>
        <v>3</v>
      </c>
      <c r="F8" s="13">
        <f t="shared" si="0"/>
        <v>3</v>
      </c>
      <c r="G8" s="13">
        <f t="shared" si="0"/>
        <v>3.5999999999999996</v>
      </c>
      <c r="H8" s="13">
        <f t="shared" si="0"/>
        <v>2.4</v>
      </c>
      <c r="I8" s="13">
        <f t="shared" si="0"/>
        <v>2.4</v>
      </c>
      <c r="J8" s="13">
        <f t="shared" si="0"/>
        <v>3.5999999999999996</v>
      </c>
      <c r="K8" s="13">
        <f t="shared" si="0"/>
        <v>3</v>
      </c>
      <c r="L8" s="13">
        <f t="shared" si="0"/>
        <v>3</v>
      </c>
      <c r="M8" s="13">
        <f t="shared" si="0"/>
        <v>3</v>
      </c>
      <c r="N8" s="13">
        <f t="shared" si="0"/>
        <v>3</v>
      </c>
      <c r="O8" s="13">
        <f t="shared" si="0"/>
        <v>2.4</v>
      </c>
      <c r="P8" s="13">
        <f t="shared" si="0"/>
        <v>3.5999999999999996</v>
      </c>
      <c r="Q8" s="13">
        <f t="shared" si="0"/>
        <v>2.4</v>
      </c>
      <c r="R8" s="13">
        <f t="shared" si="0"/>
        <v>3.5999999999999996</v>
      </c>
      <c r="S8" s="13">
        <f t="shared" si="0"/>
        <v>48</v>
      </c>
      <c r="T8" s="13">
        <f t="shared" si="0"/>
        <v>3</v>
      </c>
      <c r="U8" s="13">
        <f t="shared" si="0"/>
        <v>3</v>
      </c>
      <c r="V8" s="13">
        <f t="shared" si="0"/>
        <v>3</v>
      </c>
      <c r="W8" s="13">
        <f t="shared" si="0"/>
        <v>3</v>
      </c>
      <c r="X8" s="13">
        <f t="shared" si="0"/>
        <v>3</v>
      </c>
      <c r="Y8" s="13">
        <f t="shared" si="0"/>
        <v>3</v>
      </c>
      <c r="Z8" s="13">
        <f t="shared" si="0"/>
        <v>3</v>
      </c>
      <c r="AA8" s="13">
        <f t="shared" si="0"/>
        <v>3</v>
      </c>
      <c r="AB8" s="13">
        <f t="shared" si="0"/>
        <v>6</v>
      </c>
      <c r="AC8" s="13">
        <f t="shared" si="0"/>
        <v>6</v>
      </c>
      <c r="AD8" s="13">
        <f t="shared" si="0"/>
        <v>6</v>
      </c>
      <c r="AE8" s="13">
        <f t="shared" si="0"/>
        <v>6</v>
      </c>
      <c r="AF8" s="13">
        <f t="shared" si="0"/>
        <v>48</v>
      </c>
      <c r="AG8" s="13">
        <f t="shared" si="0"/>
        <v>2.4</v>
      </c>
      <c r="AH8" s="13">
        <f t="shared" si="0"/>
        <v>3.5999999999999996</v>
      </c>
      <c r="AI8" s="13">
        <f t="shared" si="0"/>
        <v>3</v>
      </c>
      <c r="AJ8" s="13">
        <f t="shared" si="0"/>
        <v>3</v>
      </c>
      <c r="AK8" s="13">
        <f t="shared" si="0"/>
        <v>3.5999999999999996</v>
      </c>
      <c r="AL8" s="13">
        <f t="shared" si="0"/>
        <v>2.4</v>
      </c>
      <c r="AM8" s="13">
        <f t="shared" si="0"/>
        <v>3</v>
      </c>
      <c r="AN8" s="13">
        <f t="shared" si="0"/>
        <v>3</v>
      </c>
      <c r="AO8" s="13">
        <f t="shared" si="0"/>
        <v>3</v>
      </c>
      <c r="AP8" s="13">
        <f t="shared" si="0"/>
        <v>3</v>
      </c>
      <c r="AQ8" s="13">
        <f t="shared" si="0"/>
        <v>3</v>
      </c>
      <c r="AR8" s="13">
        <f t="shared" si="0"/>
        <v>3</v>
      </c>
      <c r="AS8" s="13">
        <f t="shared" si="0"/>
        <v>3</v>
      </c>
      <c r="AT8" s="13">
        <f t="shared" si="0"/>
        <v>3</v>
      </c>
      <c r="AU8" s="13">
        <f t="shared" si="0"/>
        <v>6</v>
      </c>
      <c r="AV8" s="13">
        <f t="shared" si="0"/>
        <v>48</v>
      </c>
      <c r="AW8" s="13">
        <f t="shared" si="0"/>
        <v>18</v>
      </c>
      <c r="AX8" s="13">
        <f t="shared" si="0"/>
        <v>12</v>
      </c>
      <c r="AY8" s="13">
        <f t="shared" si="0"/>
        <v>30</v>
      </c>
      <c r="AZ8" s="13">
        <f t="shared" si="0"/>
        <v>60</v>
      </c>
    </row>
    <row r="9" spans="1:52" x14ac:dyDescent="0.25">
      <c r="A9" s="9" t="s">
        <v>25</v>
      </c>
      <c r="B9" s="9" t="s">
        <v>0</v>
      </c>
      <c r="C9" s="9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8"/>
      <c r="AI9" s="18"/>
      <c r="AJ9" s="18"/>
      <c r="AK9" s="18"/>
      <c r="AL9" s="18"/>
      <c r="AM9" s="18"/>
      <c r="AN9" s="18"/>
      <c r="AO9" s="19"/>
      <c r="AP9" s="19"/>
      <c r="AQ9" s="18"/>
      <c r="AR9" s="18"/>
      <c r="AS9" s="18"/>
      <c r="AT9" s="18"/>
      <c r="AU9" s="18"/>
      <c r="AV9" s="18"/>
      <c r="AW9" s="15"/>
      <c r="AX9" s="15"/>
      <c r="AY9" s="15"/>
      <c r="AZ9" s="1"/>
    </row>
    <row r="10" spans="1:52" x14ac:dyDescent="0.25">
      <c r="A10" s="67">
        <v>1</v>
      </c>
      <c r="B10" s="1" t="s">
        <v>96</v>
      </c>
      <c r="C10" s="1">
        <v>3</v>
      </c>
      <c r="D10" s="46">
        <v>4</v>
      </c>
      <c r="E10" s="46"/>
      <c r="F10" s="46">
        <v>5</v>
      </c>
      <c r="G10" s="46">
        <v>5</v>
      </c>
      <c r="H10" s="46">
        <v>4</v>
      </c>
      <c r="I10" s="46"/>
      <c r="J10" s="46"/>
      <c r="K10" s="46">
        <v>4</v>
      </c>
      <c r="L10" s="46">
        <v>4</v>
      </c>
      <c r="M10" s="46"/>
      <c r="N10" s="46"/>
      <c r="O10" s="46"/>
      <c r="P10" s="46"/>
      <c r="Q10" s="46">
        <v>4</v>
      </c>
      <c r="R10" s="46"/>
      <c r="S10" s="47">
        <f>SUM(C10:R10)</f>
        <v>33</v>
      </c>
      <c r="T10" s="55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7">
        <f>SUM(T10:AE10)</f>
        <v>0</v>
      </c>
      <c r="AG10" s="55">
        <v>4</v>
      </c>
      <c r="AH10" s="46">
        <v>5</v>
      </c>
      <c r="AI10" s="46">
        <v>5</v>
      </c>
      <c r="AJ10" s="46">
        <v>4</v>
      </c>
      <c r="AK10" s="46">
        <v>4</v>
      </c>
      <c r="AL10" s="46">
        <v>4</v>
      </c>
      <c r="AM10" s="46"/>
      <c r="AN10" s="46"/>
      <c r="AO10" s="46"/>
      <c r="AP10" s="46"/>
      <c r="AQ10" s="46">
        <v>1</v>
      </c>
      <c r="AR10" s="46">
        <v>1</v>
      </c>
      <c r="AS10" s="46">
        <v>2</v>
      </c>
      <c r="AT10" s="46">
        <v>2</v>
      </c>
      <c r="AU10" s="55"/>
      <c r="AV10" s="47">
        <f>SUM(AG10:AU10)</f>
        <v>32</v>
      </c>
      <c r="AW10" s="46">
        <v>13</v>
      </c>
      <c r="AX10" s="46">
        <v>15</v>
      </c>
      <c r="AY10" s="46">
        <v>35</v>
      </c>
      <c r="AZ10" s="1">
        <v>57</v>
      </c>
    </row>
    <row r="11" spans="1:52" x14ac:dyDescent="0.25">
      <c r="A11" s="67">
        <v>2</v>
      </c>
      <c r="B11" s="1" t="s">
        <v>97</v>
      </c>
      <c r="C11" s="1">
        <v>4</v>
      </c>
      <c r="D11" s="46">
        <v>4</v>
      </c>
      <c r="E11" s="46">
        <v>5</v>
      </c>
      <c r="F11" s="46">
        <v>5</v>
      </c>
      <c r="G11" s="46">
        <v>4</v>
      </c>
      <c r="H11" s="46">
        <v>4</v>
      </c>
      <c r="I11" s="46"/>
      <c r="J11" s="46"/>
      <c r="K11" s="46">
        <v>4</v>
      </c>
      <c r="L11" s="46">
        <v>4</v>
      </c>
      <c r="M11" s="46"/>
      <c r="N11" s="46"/>
      <c r="O11" s="46">
        <v>2</v>
      </c>
      <c r="P11" s="46">
        <v>6</v>
      </c>
      <c r="Q11" s="46"/>
      <c r="R11" s="46"/>
      <c r="S11" s="47">
        <f t="shared" ref="S11:S58" si="1">SUM(C11:R11)</f>
        <v>42</v>
      </c>
      <c r="T11" s="55">
        <v>6</v>
      </c>
      <c r="U11" s="46">
        <v>2</v>
      </c>
      <c r="V11" s="46"/>
      <c r="W11" s="46">
        <v>2</v>
      </c>
      <c r="X11" s="46">
        <v>4</v>
      </c>
      <c r="Y11" s="46">
        <v>2</v>
      </c>
      <c r="Z11" s="46"/>
      <c r="AA11" s="46"/>
      <c r="AB11" s="46"/>
      <c r="AC11" s="46">
        <v>9</v>
      </c>
      <c r="AD11" s="46"/>
      <c r="AE11" s="46">
        <v>1</v>
      </c>
      <c r="AF11" s="47">
        <f t="shared" ref="AF11:AF58" si="2">SUM(T11:AE11)</f>
        <v>26</v>
      </c>
      <c r="AG11" s="55">
        <v>3</v>
      </c>
      <c r="AH11" s="46">
        <v>2</v>
      </c>
      <c r="AI11" s="46">
        <v>1</v>
      </c>
      <c r="AJ11" s="46">
        <v>1</v>
      </c>
      <c r="AK11" s="46">
        <v>2</v>
      </c>
      <c r="AL11" s="46">
        <v>1</v>
      </c>
      <c r="AM11" s="46"/>
      <c r="AN11" s="46"/>
      <c r="AO11" s="46"/>
      <c r="AP11" s="46"/>
      <c r="AQ11" s="46"/>
      <c r="AR11" s="46"/>
      <c r="AS11" s="46"/>
      <c r="AT11" s="46"/>
      <c r="AU11" s="55"/>
      <c r="AV11" s="47">
        <f t="shared" ref="AV11:AV58" si="3">SUM(AG11:AU11)</f>
        <v>10</v>
      </c>
      <c r="AW11" s="46">
        <v>16</v>
      </c>
      <c r="AX11" s="46">
        <v>15</v>
      </c>
      <c r="AY11" s="46">
        <v>37</v>
      </c>
      <c r="AZ11" s="1">
        <v>55</v>
      </c>
    </row>
    <row r="12" spans="1:52" x14ac:dyDescent="0.25">
      <c r="A12" s="67">
        <v>3</v>
      </c>
      <c r="B12" s="1" t="s">
        <v>98</v>
      </c>
      <c r="C12" s="1">
        <v>5</v>
      </c>
      <c r="D12" s="46">
        <v>4</v>
      </c>
      <c r="E12" s="46">
        <v>3</v>
      </c>
      <c r="F12" s="46">
        <v>5</v>
      </c>
      <c r="G12" s="46">
        <v>6</v>
      </c>
      <c r="H12" s="46">
        <v>4</v>
      </c>
      <c r="I12" s="46"/>
      <c r="J12" s="46"/>
      <c r="K12" s="46">
        <v>4</v>
      </c>
      <c r="L12" s="46">
        <v>4</v>
      </c>
      <c r="M12" s="46"/>
      <c r="N12" s="46"/>
      <c r="O12" s="46">
        <v>3</v>
      </c>
      <c r="P12" s="46">
        <v>5</v>
      </c>
      <c r="Q12" s="46"/>
      <c r="R12" s="46"/>
      <c r="S12" s="47">
        <f t="shared" si="1"/>
        <v>43</v>
      </c>
      <c r="T12" s="55">
        <v>5</v>
      </c>
      <c r="U12" s="46">
        <v>2</v>
      </c>
      <c r="V12" s="46">
        <v>5</v>
      </c>
      <c r="W12" s="46">
        <v>1</v>
      </c>
      <c r="X12" s="46">
        <v>2</v>
      </c>
      <c r="Y12" s="46">
        <v>2</v>
      </c>
      <c r="Z12" s="46"/>
      <c r="AA12" s="46"/>
      <c r="AB12" s="46">
        <v>4</v>
      </c>
      <c r="AC12" s="46"/>
      <c r="AD12" s="46"/>
      <c r="AE12" s="46">
        <v>6</v>
      </c>
      <c r="AF12" s="47">
        <f t="shared" si="2"/>
        <v>27</v>
      </c>
      <c r="AG12" s="55">
        <v>4</v>
      </c>
      <c r="AH12" s="46">
        <v>3</v>
      </c>
      <c r="AI12" s="46">
        <v>3</v>
      </c>
      <c r="AJ12" s="46">
        <v>2</v>
      </c>
      <c r="AK12" s="46">
        <v>3</v>
      </c>
      <c r="AL12" s="46">
        <v>4</v>
      </c>
      <c r="AM12" s="46"/>
      <c r="AN12" s="46"/>
      <c r="AO12" s="46">
        <v>2</v>
      </c>
      <c r="AP12" s="46">
        <v>3</v>
      </c>
      <c r="AQ12" s="46"/>
      <c r="AR12" s="46"/>
      <c r="AS12" s="46">
        <v>2</v>
      </c>
      <c r="AT12" s="46">
        <v>2</v>
      </c>
      <c r="AU12" s="55"/>
      <c r="AV12" s="47">
        <f t="shared" si="3"/>
        <v>28</v>
      </c>
      <c r="AW12" s="46">
        <v>20</v>
      </c>
      <c r="AX12" s="46">
        <v>14</v>
      </c>
      <c r="AY12" s="46">
        <v>39</v>
      </c>
      <c r="AZ12" s="1">
        <v>70</v>
      </c>
    </row>
    <row r="13" spans="1:52" x14ac:dyDescent="0.25">
      <c r="A13" s="67">
        <v>4</v>
      </c>
      <c r="B13" s="1" t="s">
        <v>99</v>
      </c>
      <c r="C13" s="1">
        <v>6</v>
      </c>
      <c r="D13" s="46">
        <v>4</v>
      </c>
      <c r="E13" s="46">
        <v>2</v>
      </c>
      <c r="F13" s="46">
        <v>5</v>
      </c>
      <c r="G13" s="46">
        <v>5</v>
      </c>
      <c r="H13" s="46">
        <v>3</v>
      </c>
      <c r="I13" s="46"/>
      <c r="J13" s="46"/>
      <c r="K13" s="46">
        <v>4</v>
      </c>
      <c r="L13" s="46">
        <v>5</v>
      </c>
      <c r="M13" s="46"/>
      <c r="N13" s="46"/>
      <c r="O13" s="46">
        <v>2</v>
      </c>
      <c r="P13" s="46">
        <v>5</v>
      </c>
      <c r="Q13" s="46"/>
      <c r="R13" s="46"/>
      <c r="S13" s="47">
        <f t="shared" si="1"/>
        <v>41</v>
      </c>
      <c r="T13" s="55">
        <v>6</v>
      </c>
      <c r="U13" s="46">
        <v>1</v>
      </c>
      <c r="V13" s="46"/>
      <c r="W13" s="46"/>
      <c r="X13" s="46"/>
      <c r="Y13" s="46">
        <v>2</v>
      </c>
      <c r="Z13" s="46"/>
      <c r="AA13" s="46"/>
      <c r="AB13" s="46"/>
      <c r="AC13" s="46"/>
      <c r="AD13" s="46"/>
      <c r="AE13" s="46">
        <v>10</v>
      </c>
      <c r="AF13" s="47">
        <f t="shared" si="2"/>
        <v>19</v>
      </c>
      <c r="AG13" s="55">
        <v>3</v>
      </c>
      <c r="AH13" s="46">
        <v>1</v>
      </c>
      <c r="AI13" s="46">
        <v>3</v>
      </c>
      <c r="AJ13" s="46">
        <v>4</v>
      </c>
      <c r="AK13" s="46"/>
      <c r="AL13" s="46"/>
      <c r="AM13" s="46">
        <v>4</v>
      </c>
      <c r="AN13" s="46">
        <v>2</v>
      </c>
      <c r="AO13" s="46">
        <v>4</v>
      </c>
      <c r="AP13" s="46">
        <v>4</v>
      </c>
      <c r="AQ13" s="46"/>
      <c r="AR13" s="46"/>
      <c r="AS13" s="46"/>
      <c r="AT13" s="46"/>
      <c r="AU13" s="55"/>
      <c r="AV13" s="47">
        <f t="shared" si="3"/>
        <v>25</v>
      </c>
      <c r="AW13" s="46">
        <v>17</v>
      </c>
      <c r="AX13" s="46">
        <v>16</v>
      </c>
      <c r="AY13" s="46">
        <v>33</v>
      </c>
      <c r="AZ13" s="1">
        <v>58</v>
      </c>
    </row>
    <row r="14" spans="1:52" x14ac:dyDescent="0.25">
      <c r="A14" s="67">
        <v>5</v>
      </c>
      <c r="B14" s="1" t="s">
        <v>100</v>
      </c>
      <c r="C14" s="1">
        <v>5</v>
      </c>
      <c r="D14" s="46">
        <v>4</v>
      </c>
      <c r="E14" s="46">
        <v>3</v>
      </c>
      <c r="F14" s="46">
        <v>5</v>
      </c>
      <c r="G14" s="46"/>
      <c r="H14" s="46"/>
      <c r="I14" s="46">
        <v>4</v>
      </c>
      <c r="J14" s="46">
        <v>6</v>
      </c>
      <c r="K14" s="46">
        <v>5</v>
      </c>
      <c r="L14" s="46">
        <v>4</v>
      </c>
      <c r="M14" s="46"/>
      <c r="N14" s="46"/>
      <c r="O14" s="46">
        <v>2</v>
      </c>
      <c r="P14" s="46">
        <v>1</v>
      </c>
      <c r="Q14" s="46"/>
      <c r="R14" s="46"/>
      <c r="S14" s="47">
        <f t="shared" si="1"/>
        <v>39</v>
      </c>
      <c r="T14" s="55">
        <v>5</v>
      </c>
      <c r="U14" s="46">
        <v>1</v>
      </c>
      <c r="V14" s="46">
        <v>1</v>
      </c>
      <c r="W14" s="46">
        <v>2</v>
      </c>
      <c r="X14" s="46">
        <v>2</v>
      </c>
      <c r="Y14" s="46">
        <v>2</v>
      </c>
      <c r="Z14" s="46"/>
      <c r="AA14" s="46"/>
      <c r="AB14" s="46">
        <v>5</v>
      </c>
      <c r="AC14" s="46"/>
      <c r="AD14" s="46">
        <v>1</v>
      </c>
      <c r="AE14" s="46"/>
      <c r="AF14" s="47">
        <f t="shared" si="2"/>
        <v>19</v>
      </c>
      <c r="AG14" s="55"/>
      <c r="AH14" s="46">
        <v>5</v>
      </c>
      <c r="AI14" s="46">
        <v>3</v>
      </c>
      <c r="AJ14" s="46">
        <v>1</v>
      </c>
      <c r="AK14" s="46">
        <v>2</v>
      </c>
      <c r="AL14" s="46">
        <v>2</v>
      </c>
      <c r="AM14" s="46">
        <v>1</v>
      </c>
      <c r="AN14" s="46"/>
      <c r="AO14" s="46"/>
      <c r="AP14" s="46"/>
      <c r="AQ14" s="46"/>
      <c r="AR14" s="46"/>
      <c r="AS14" s="46">
        <v>2</v>
      </c>
      <c r="AT14" s="46">
        <v>1</v>
      </c>
      <c r="AU14" s="55"/>
      <c r="AV14" s="47">
        <f t="shared" si="3"/>
        <v>17</v>
      </c>
      <c r="AW14" s="46">
        <v>15</v>
      </c>
      <c r="AX14" s="46">
        <v>15</v>
      </c>
      <c r="AY14" s="46">
        <v>26</v>
      </c>
      <c r="AZ14" s="1">
        <v>56</v>
      </c>
    </row>
    <row r="15" spans="1:52" x14ac:dyDescent="0.25">
      <c r="A15" s="67">
        <v>6</v>
      </c>
      <c r="B15" s="1" t="s">
        <v>101</v>
      </c>
      <c r="C15" s="1">
        <v>6</v>
      </c>
      <c r="D15" s="46">
        <v>4</v>
      </c>
      <c r="E15" s="46">
        <v>3</v>
      </c>
      <c r="F15" s="46">
        <v>5</v>
      </c>
      <c r="G15" s="46"/>
      <c r="H15" s="46"/>
      <c r="I15" s="46">
        <v>4</v>
      </c>
      <c r="J15" s="46">
        <v>5</v>
      </c>
      <c r="K15" s="46">
        <v>5</v>
      </c>
      <c r="L15" s="46">
        <v>5</v>
      </c>
      <c r="M15" s="46"/>
      <c r="N15" s="46"/>
      <c r="O15" s="46"/>
      <c r="P15" s="46"/>
      <c r="Q15" s="46">
        <v>4</v>
      </c>
      <c r="R15" s="46">
        <v>6</v>
      </c>
      <c r="S15" s="47">
        <f t="shared" si="1"/>
        <v>47</v>
      </c>
      <c r="T15" s="55">
        <v>6</v>
      </c>
      <c r="U15" s="46">
        <v>1</v>
      </c>
      <c r="V15" s="46"/>
      <c r="W15" s="46"/>
      <c r="X15" s="46"/>
      <c r="Y15" s="46"/>
      <c r="Z15" s="46">
        <v>1</v>
      </c>
      <c r="AA15" s="46">
        <v>2</v>
      </c>
      <c r="AB15" s="46"/>
      <c r="AC15" s="46">
        <v>8</v>
      </c>
      <c r="AD15" s="46">
        <v>9</v>
      </c>
      <c r="AE15" s="46"/>
      <c r="AF15" s="47">
        <f t="shared" si="2"/>
        <v>27</v>
      </c>
      <c r="AG15" s="55">
        <v>4</v>
      </c>
      <c r="AH15" s="46">
        <v>4</v>
      </c>
      <c r="AI15" s="46">
        <v>3</v>
      </c>
      <c r="AJ15" s="46">
        <v>4</v>
      </c>
      <c r="AK15" s="46">
        <v>2</v>
      </c>
      <c r="AL15" s="46">
        <v>4</v>
      </c>
      <c r="AM15" s="46"/>
      <c r="AN15" s="46"/>
      <c r="AO15" s="46">
        <v>4</v>
      </c>
      <c r="AP15" s="46">
        <v>4</v>
      </c>
      <c r="AQ15" s="46"/>
      <c r="AR15" s="46"/>
      <c r="AS15" s="46"/>
      <c r="AT15" s="46"/>
      <c r="AU15" s="55">
        <v>4</v>
      </c>
      <c r="AV15" s="47">
        <f t="shared" si="3"/>
        <v>33</v>
      </c>
      <c r="AW15" s="46">
        <v>22</v>
      </c>
      <c r="AX15" s="46">
        <v>13</v>
      </c>
      <c r="AY15" s="46">
        <v>29</v>
      </c>
      <c r="AZ15" s="1">
        <v>68</v>
      </c>
    </row>
    <row r="16" spans="1:52" x14ac:dyDescent="0.25">
      <c r="A16" s="67">
        <v>7</v>
      </c>
      <c r="B16" s="1" t="s">
        <v>102</v>
      </c>
      <c r="C16" s="1">
        <v>5</v>
      </c>
      <c r="D16" s="46">
        <v>4</v>
      </c>
      <c r="E16" s="46"/>
      <c r="F16" s="46">
        <v>3</v>
      </c>
      <c r="G16" s="46">
        <v>5</v>
      </c>
      <c r="H16" s="46">
        <v>4</v>
      </c>
      <c r="I16" s="46"/>
      <c r="J16" s="46"/>
      <c r="K16" s="46"/>
      <c r="L16" s="46">
        <v>2</v>
      </c>
      <c r="M16" s="46"/>
      <c r="N16" s="46"/>
      <c r="O16" s="46">
        <v>2</v>
      </c>
      <c r="P16" s="46">
        <v>2</v>
      </c>
      <c r="Q16" s="46"/>
      <c r="R16" s="46"/>
      <c r="S16" s="47">
        <f t="shared" si="1"/>
        <v>27</v>
      </c>
      <c r="T16" s="55">
        <v>2</v>
      </c>
      <c r="U16" s="46"/>
      <c r="V16" s="46"/>
      <c r="W16" s="46"/>
      <c r="X16" s="46"/>
      <c r="Y16" s="46">
        <v>1</v>
      </c>
      <c r="Z16" s="46"/>
      <c r="AA16" s="46"/>
      <c r="AB16" s="46"/>
      <c r="AC16" s="46">
        <v>3</v>
      </c>
      <c r="AD16" s="46"/>
      <c r="AE16" s="46"/>
      <c r="AF16" s="47">
        <f t="shared" si="2"/>
        <v>6</v>
      </c>
      <c r="AG16" s="55">
        <v>2</v>
      </c>
      <c r="AH16" s="46"/>
      <c r="AI16" s="46">
        <v>3</v>
      </c>
      <c r="AJ16" s="46">
        <v>1</v>
      </c>
      <c r="AK16" s="46"/>
      <c r="AL16" s="46"/>
      <c r="AM16" s="46"/>
      <c r="AN16" s="46"/>
      <c r="AO16" s="46"/>
      <c r="AP16" s="46">
        <v>2</v>
      </c>
      <c r="AQ16" s="46"/>
      <c r="AR16" s="46"/>
      <c r="AS16" s="46"/>
      <c r="AT16" s="46"/>
      <c r="AU16" s="55"/>
      <c r="AV16" s="47">
        <f t="shared" si="3"/>
        <v>8</v>
      </c>
      <c r="AW16" s="46">
        <v>9</v>
      </c>
      <c r="AX16" s="46">
        <v>14</v>
      </c>
      <c r="AY16" s="46">
        <v>26</v>
      </c>
      <c r="AZ16" s="1">
        <v>46</v>
      </c>
    </row>
    <row r="17" spans="1:52" x14ac:dyDescent="0.25">
      <c r="A17" s="67">
        <v>8</v>
      </c>
      <c r="B17" s="1" t="s">
        <v>103</v>
      </c>
      <c r="C17" s="1">
        <v>4</v>
      </c>
      <c r="D17" s="46">
        <v>4</v>
      </c>
      <c r="E17" s="46">
        <v>1</v>
      </c>
      <c r="F17" s="46">
        <v>5</v>
      </c>
      <c r="G17" s="46">
        <v>6</v>
      </c>
      <c r="H17" s="46">
        <v>4</v>
      </c>
      <c r="I17" s="46"/>
      <c r="J17" s="46"/>
      <c r="K17" s="46">
        <v>4</v>
      </c>
      <c r="L17" s="46">
        <v>5</v>
      </c>
      <c r="M17" s="46"/>
      <c r="N17" s="46"/>
      <c r="O17" s="46">
        <v>3</v>
      </c>
      <c r="P17" s="46">
        <v>2</v>
      </c>
      <c r="Q17" s="46"/>
      <c r="R17" s="46"/>
      <c r="S17" s="47">
        <f t="shared" si="1"/>
        <v>38</v>
      </c>
      <c r="T17" s="55">
        <v>5</v>
      </c>
      <c r="U17" s="46"/>
      <c r="V17" s="46"/>
      <c r="W17" s="46"/>
      <c r="X17" s="46"/>
      <c r="Y17" s="46">
        <v>1</v>
      </c>
      <c r="Z17" s="46"/>
      <c r="AA17" s="46"/>
      <c r="AB17" s="46"/>
      <c r="AC17" s="46">
        <v>6</v>
      </c>
      <c r="AD17" s="46"/>
      <c r="AE17" s="46"/>
      <c r="AF17" s="47">
        <f t="shared" si="2"/>
        <v>12</v>
      </c>
      <c r="AG17" s="55">
        <v>2</v>
      </c>
      <c r="AH17" s="46">
        <v>3</v>
      </c>
      <c r="AI17" s="46">
        <v>5</v>
      </c>
      <c r="AJ17" s="46">
        <v>3</v>
      </c>
      <c r="AK17" s="46">
        <v>2</v>
      </c>
      <c r="AL17" s="46">
        <v>4</v>
      </c>
      <c r="AM17" s="46"/>
      <c r="AN17" s="46"/>
      <c r="AO17" s="46">
        <v>1</v>
      </c>
      <c r="AP17" s="46">
        <v>4</v>
      </c>
      <c r="AQ17" s="46"/>
      <c r="AR17" s="46"/>
      <c r="AS17" s="46"/>
      <c r="AT17" s="46"/>
      <c r="AU17" s="55"/>
      <c r="AV17" s="47">
        <f t="shared" si="3"/>
        <v>24</v>
      </c>
      <c r="AW17" s="46">
        <v>15</v>
      </c>
      <c r="AX17" s="46">
        <v>16</v>
      </c>
      <c r="AY17" s="46">
        <v>30</v>
      </c>
      <c r="AZ17" s="1">
        <v>61</v>
      </c>
    </row>
    <row r="18" spans="1:52" x14ac:dyDescent="0.25">
      <c r="A18" s="67">
        <v>9</v>
      </c>
      <c r="B18" s="1" t="s">
        <v>104</v>
      </c>
      <c r="C18" s="1">
        <v>5</v>
      </c>
      <c r="D18" s="46">
        <v>4</v>
      </c>
      <c r="E18" s="46"/>
      <c r="F18" s="46">
        <v>5</v>
      </c>
      <c r="G18" s="46">
        <v>4</v>
      </c>
      <c r="H18" s="46">
        <v>4</v>
      </c>
      <c r="I18" s="46"/>
      <c r="J18" s="46"/>
      <c r="K18" s="46">
        <v>4</v>
      </c>
      <c r="L18" s="46"/>
      <c r="M18" s="46"/>
      <c r="N18" s="46"/>
      <c r="O18" s="46"/>
      <c r="P18" s="46"/>
      <c r="Q18" s="46"/>
      <c r="R18" s="46">
        <v>5</v>
      </c>
      <c r="S18" s="47">
        <f t="shared" si="1"/>
        <v>31</v>
      </c>
      <c r="T18" s="55">
        <v>4</v>
      </c>
      <c r="U18" s="46">
        <v>1</v>
      </c>
      <c r="V18" s="46"/>
      <c r="W18" s="46">
        <v>2</v>
      </c>
      <c r="X18" s="46"/>
      <c r="Y18" s="46">
        <v>4</v>
      </c>
      <c r="Z18" s="46"/>
      <c r="AA18" s="46"/>
      <c r="AB18" s="46"/>
      <c r="AC18" s="46">
        <v>8</v>
      </c>
      <c r="AD18" s="46">
        <v>4</v>
      </c>
      <c r="AE18" s="46"/>
      <c r="AF18" s="47">
        <f t="shared" si="2"/>
        <v>23</v>
      </c>
      <c r="AG18" s="55">
        <v>2</v>
      </c>
      <c r="AH18" s="46">
        <v>1</v>
      </c>
      <c r="AI18" s="46"/>
      <c r="AJ18" s="46">
        <v>3</v>
      </c>
      <c r="AK18" s="46">
        <v>3</v>
      </c>
      <c r="AL18" s="46"/>
      <c r="AM18" s="46"/>
      <c r="AN18" s="46"/>
      <c r="AO18" s="46"/>
      <c r="AP18" s="46"/>
      <c r="AQ18" s="46"/>
      <c r="AR18" s="46"/>
      <c r="AS18" s="46"/>
      <c r="AT18" s="46"/>
      <c r="AU18" s="55">
        <v>2</v>
      </c>
      <c r="AV18" s="47">
        <f t="shared" si="3"/>
        <v>11</v>
      </c>
      <c r="AW18" s="46">
        <v>13</v>
      </c>
      <c r="AX18" s="46">
        <v>16</v>
      </c>
      <c r="AY18" s="46">
        <v>35</v>
      </c>
      <c r="AZ18" s="1">
        <v>60</v>
      </c>
    </row>
    <row r="19" spans="1:52" x14ac:dyDescent="0.25">
      <c r="A19" s="67">
        <v>10</v>
      </c>
      <c r="B19" s="1" t="s">
        <v>105</v>
      </c>
      <c r="C19" s="1">
        <v>4</v>
      </c>
      <c r="D19" s="46">
        <v>4</v>
      </c>
      <c r="E19" s="46">
        <v>1</v>
      </c>
      <c r="F19" s="46">
        <v>5</v>
      </c>
      <c r="G19" s="46">
        <v>3</v>
      </c>
      <c r="H19" s="46">
        <v>6</v>
      </c>
      <c r="I19" s="46"/>
      <c r="J19" s="46"/>
      <c r="K19" s="46">
        <v>5</v>
      </c>
      <c r="L19" s="46">
        <v>5</v>
      </c>
      <c r="M19" s="46"/>
      <c r="N19" s="46"/>
      <c r="O19" s="46">
        <v>4</v>
      </c>
      <c r="P19" s="46">
        <v>6</v>
      </c>
      <c r="Q19" s="46"/>
      <c r="R19" s="46"/>
      <c r="S19" s="47">
        <f t="shared" si="1"/>
        <v>43</v>
      </c>
      <c r="T19" s="55">
        <v>5</v>
      </c>
      <c r="U19" s="46"/>
      <c r="V19" s="46"/>
      <c r="W19" s="46"/>
      <c r="X19" s="46"/>
      <c r="Y19" s="46"/>
      <c r="Z19" s="46">
        <v>2</v>
      </c>
      <c r="AA19" s="46">
        <v>2</v>
      </c>
      <c r="AB19" s="46"/>
      <c r="AC19" s="46">
        <v>2</v>
      </c>
      <c r="AD19" s="46">
        <v>2</v>
      </c>
      <c r="AE19" s="46"/>
      <c r="AF19" s="47">
        <f t="shared" si="2"/>
        <v>13</v>
      </c>
      <c r="AG19" s="55">
        <v>3</v>
      </c>
      <c r="AH19" s="46">
        <v>5</v>
      </c>
      <c r="AI19" s="46">
        <v>3</v>
      </c>
      <c r="AJ19" s="46">
        <v>4</v>
      </c>
      <c r="AK19" s="46">
        <v>4</v>
      </c>
      <c r="AL19" s="46">
        <v>1</v>
      </c>
      <c r="AM19" s="46"/>
      <c r="AN19" s="46"/>
      <c r="AO19" s="46"/>
      <c r="AP19" s="46"/>
      <c r="AQ19" s="46">
        <v>2</v>
      </c>
      <c r="AR19" s="46">
        <v>2</v>
      </c>
      <c r="AS19" s="46"/>
      <c r="AT19" s="46"/>
      <c r="AU19" s="55">
        <v>8</v>
      </c>
      <c r="AV19" s="47">
        <f t="shared" si="3"/>
        <v>32</v>
      </c>
      <c r="AW19" s="46">
        <v>18</v>
      </c>
      <c r="AX19" s="46">
        <v>12</v>
      </c>
      <c r="AY19" s="46">
        <v>38</v>
      </c>
      <c r="AZ19" s="1">
        <v>60</v>
      </c>
    </row>
    <row r="20" spans="1:52" x14ac:dyDescent="0.25">
      <c r="A20" s="67">
        <v>11</v>
      </c>
      <c r="B20" s="1" t="s">
        <v>106</v>
      </c>
      <c r="C20" s="1">
        <v>4</v>
      </c>
      <c r="D20" s="46">
        <v>4</v>
      </c>
      <c r="E20" s="46"/>
      <c r="F20" s="46">
        <v>4</v>
      </c>
      <c r="G20" s="46">
        <v>6</v>
      </c>
      <c r="H20" s="46">
        <v>4</v>
      </c>
      <c r="I20" s="46"/>
      <c r="J20" s="46"/>
      <c r="K20" s="46"/>
      <c r="L20" s="46">
        <v>5</v>
      </c>
      <c r="M20" s="46"/>
      <c r="N20" s="46"/>
      <c r="O20" s="46">
        <v>2</v>
      </c>
      <c r="P20" s="46">
        <v>5</v>
      </c>
      <c r="Q20" s="46"/>
      <c r="R20" s="46"/>
      <c r="S20" s="47">
        <f t="shared" si="1"/>
        <v>34</v>
      </c>
      <c r="T20" s="55">
        <v>5</v>
      </c>
      <c r="U20" s="46">
        <v>2</v>
      </c>
      <c r="V20" s="46">
        <v>4</v>
      </c>
      <c r="W20" s="46"/>
      <c r="X20" s="46">
        <v>4</v>
      </c>
      <c r="Y20" s="46">
        <v>2</v>
      </c>
      <c r="Z20" s="46"/>
      <c r="AA20" s="46"/>
      <c r="AB20" s="46"/>
      <c r="AC20" s="46"/>
      <c r="AD20" s="46">
        <v>8</v>
      </c>
      <c r="AE20" s="46"/>
      <c r="AF20" s="47">
        <f t="shared" si="2"/>
        <v>25</v>
      </c>
      <c r="AG20" s="55">
        <v>4</v>
      </c>
      <c r="AH20" s="46">
        <v>5</v>
      </c>
      <c r="AI20" s="46">
        <v>3</v>
      </c>
      <c r="AJ20" s="46"/>
      <c r="AK20" s="46">
        <v>3</v>
      </c>
      <c r="AL20" s="46">
        <v>2</v>
      </c>
      <c r="AM20" s="46"/>
      <c r="AN20" s="46"/>
      <c r="AO20" s="46">
        <v>3</v>
      </c>
      <c r="AP20" s="46">
        <v>3</v>
      </c>
      <c r="AQ20" s="46"/>
      <c r="AR20" s="46"/>
      <c r="AS20" s="46">
        <v>2</v>
      </c>
      <c r="AT20" s="46">
        <v>2</v>
      </c>
      <c r="AU20" s="55"/>
      <c r="AV20" s="47">
        <f t="shared" si="3"/>
        <v>27</v>
      </c>
      <c r="AW20" s="46">
        <v>18</v>
      </c>
      <c r="AX20" s="46">
        <v>15</v>
      </c>
      <c r="AY20" s="46">
        <v>37</v>
      </c>
      <c r="AZ20" s="1">
        <v>60</v>
      </c>
    </row>
    <row r="21" spans="1:52" x14ac:dyDescent="0.25">
      <c r="A21" s="67">
        <v>12</v>
      </c>
      <c r="B21" s="1" t="s">
        <v>107</v>
      </c>
      <c r="C21" s="1">
        <v>5</v>
      </c>
      <c r="D21" s="46">
        <v>4</v>
      </c>
      <c r="E21" s="46">
        <v>1</v>
      </c>
      <c r="F21" s="46">
        <v>5</v>
      </c>
      <c r="G21" s="46">
        <v>6</v>
      </c>
      <c r="H21" s="46">
        <v>4</v>
      </c>
      <c r="I21" s="46"/>
      <c r="J21" s="46"/>
      <c r="K21" s="46">
        <v>5</v>
      </c>
      <c r="L21" s="46">
        <v>5</v>
      </c>
      <c r="M21" s="46"/>
      <c r="N21" s="46"/>
      <c r="O21" s="46">
        <v>2</v>
      </c>
      <c r="P21" s="46">
        <v>5</v>
      </c>
      <c r="Q21" s="46"/>
      <c r="R21" s="46"/>
      <c r="S21" s="47">
        <f t="shared" si="1"/>
        <v>42</v>
      </c>
      <c r="T21" s="55">
        <v>6</v>
      </c>
      <c r="U21" s="46">
        <v>1</v>
      </c>
      <c r="V21" s="46">
        <v>2</v>
      </c>
      <c r="W21" s="46"/>
      <c r="X21" s="46"/>
      <c r="Y21" s="46"/>
      <c r="Z21" s="46">
        <v>2</v>
      </c>
      <c r="AA21" s="46"/>
      <c r="AB21" s="46"/>
      <c r="AC21" s="46">
        <v>5</v>
      </c>
      <c r="AD21" s="46"/>
      <c r="AE21" s="46">
        <v>1</v>
      </c>
      <c r="AF21" s="47">
        <f t="shared" si="2"/>
        <v>17</v>
      </c>
      <c r="AG21" s="55">
        <v>3</v>
      </c>
      <c r="AH21" s="46">
        <v>3</v>
      </c>
      <c r="AI21" s="46">
        <v>3</v>
      </c>
      <c r="AJ21" s="46">
        <v>3</v>
      </c>
      <c r="AK21" s="46">
        <v>2</v>
      </c>
      <c r="AL21" s="46">
        <v>2</v>
      </c>
      <c r="AM21" s="46"/>
      <c r="AN21" s="46"/>
      <c r="AO21" s="46"/>
      <c r="AP21" s="46"/>
      <c r="AQ21" s="46"/>
      <c r="AR21" s="46"/>
      <c r="AS21" s="46"/>
      <c r="AT21" s="46"/>
      <c r="AU21" s="55"/>
      <c r="AV21" s="47">
        <f t="shared" si="3"/>
        <v>16</v>
      </c>
      <c r="AW21" s="46">
        <v>16</v>
      </c>
      <c r="AX21" s="46">
        <v>15</v>
      </c>
      <c r="AY21" s="46">
        <v>28</v>
      </c>
      <c r="AZ21" s="1">
        <v>64</v>
      </c>
    </row>
    <row r="22" spans="1:52" x14ac:dyDescent="0.25">
      <c r="A22" s="67">
        <v>13</v>
      </c>
      <c r="B22" s="1" t="s">
        <v>108</v>
      </c>
      <c r="C22" s="1">
        <v>4</v>
      </c>
      <c r="D22" s="46">
        <v>4</v>
      </c>
      <c r="E22" s="46"/>
      <c r="F22" s="46">
        <v>5</v>
      </c>
      <c r="G22" s="46"/>
      <c r="H22" s="46">
        <v>4</v>
      </c>
      <c r="I22" s="46"/>
      <c r="J22" s="46"/>
      <c r="K22" s="46">
        <v>4</v>
      </c>
      <c r="L22" s="46">
        <v>1</v>
      </c>
      <c r="M22" s="46"/>
      <c r="N22" s="46"/>
      <c r="O22" s="46">
        <v>4</v>
      </c>
      <c r="P22" s="46">
        <v>2</v>
      </c>
      <c r="Q22" s="46"/>
      <c r="R22" s="46"/>
      <c r="S22" s="47">
        <f t="shared" si="1"/>
        <v>28</v>
      </c>
      <c r="T22" s="55">
        <v>6</v>
      </c>
      <c r="U22" s="46">
        <v>2</v>
      </c>
      <c r="V22" s="46"/>
      <c r="W22" s="46">
        <v>3</v>
      </c>
      <c r="X22" s="46"/>
      <c r="Y22" s="46">
        <v>2</v>
      </c>
      <c r="Z22" s="46"/>
      <c r="AA22" s="46"/>
      <c r="AB22" s="46"/>
      <c r="AC22" s="46">
        <v>6</v>
      </c>
      <c r="AD22" s="46"/>
      <c r="AE22" s="46"/>
      <c r="AF22" s="47">
        <f t="shared" si="2"/>
        <v>19</v>
      </c>
      <c r="AG22" s="55">
        <v>2</v>
      </c>
      <c r="AH22" s="46">
        <v>5</v>
      </c>
      <c r="AI22" s="46">
        <v>3</v>
      </c>
      <c r="AJ22" s="46">
        <v>4</v>
      </c>
      <c r="AK22" s="46">
        <v>3</v>
      </c>
      <c r="AL22" s="46">
        <v>2</v>
      </c>
      <c r="AM22" s="46"/>
      <c r="AN22" s="46"/>
      <c r="AO22" s="46"/>
      <c r="AP22" s="46"/>
      <c r="AQ22" s="46"/>
      <c r="AR22" s="46"/>
      <c r="AS22" s="46"/>
      <c r="AT22" s="46"/>
      <c r="AU22" s="55"/>
      <c r="AV22" s="47">
        <f t="shared" si="3"/>
        <v>19</v>
      </c>
      <c r="AW22" s="46">
        <v>15</v>
      </c>
      <c r="AX22" s="46">
        <v>14</v>
      </c>
      <c r="AY22" s="46">
        <v>33</v>
      </c>
      <c r="AZ22" s="1">
        <v>50</v>
      </c>
    </row>
    <row r="23" spans="1:52" x14ac:dyDescent="0.25">
      <c r="A23" s="67">
        <v>14</v>
      </c>
      <c r="B23" s="1" t="s">
        <v>109</v>
      </c>
      <c r="C23" s="1">
        <v>5</v>
      </c>
      <c r="D23" s="46">
        <v>4</v>
      </c>
      <c r="E23" s="46">
        <v>1</v>
      </c>
      <c r="F23" s="46">
        <v>5</v>
      </c>
      <c r="G23" s="46">
        <v>6</v>
      </c>
      <c r="H23" s="46">
        <v>4</v>
      </c>
      <c r="I23" s="46"/>
      <c r="J23" s="46"/>
      <c r="K23" s="46">
        <v>5</v>
      </c>
      <c r="L23" s="46">
        <v>5</v>
      </c>
      <c r="M23" s="46"/>
      <c r="N23" s="46"/>
      <c r="O23" s="46">
        <v>4</v>
      </c>
      <c r="P23" s="46">
        <v>6</v>
      </c>
      <c r="Q23" s="46"/>
      <c r="R23" s="46"/>
      <c r="S23" s="47">
        <f t="shared" si="1"/>
        <v>45</v>
      </c>
      <c r="T23" s="55">
        <v>6</v>
      </c>
      <c r="U23" s="46">
        <v>3</v>
      </c>
      <c r="V23" s="46">
        <v>6</v>
      </c>
      <c r="W23" s="46">
        <v>2</v>
      </c>
      <c r="X23" s="46">
        <v>4</v>
      </c>
      <c r="Y23" s="46">
        <v>5</v>
      </c>
      <c r="Z23" s="46"/>
      <c r="AA23" s="46"/>
      <c r="AB23" s="46"/>
      <c r="AC23" s="46">
        <v>9</v>
      </c>
      <c r="AD23" s="46"/>
      <c r="AE23" s="46">
        <v>9</v>
      </c>
      <c r="AF23" s="47">
        <f t="shared" si="2"/>
        <v>44</v>
      </c>
      <c r="AG23" s="55">
        <v>4</v>
      </c>
      <c r="AH23" s="46">
        <v>5</v>
      </c>
      <c r="AI23" s="46">
        <v>5</v>
      </c>
      <c r="AJ23" s="46">
        <v>4</v>
      </c>
      <c r="AK23" s="46"/>
      <c r="AL23" s="46"/>
      <c r="AM23" s="46"/>
      <c r="AN23" s="46">
        <v>4</v>
      </c>
      <c r="AO23" s="46">
        <v>2</v>
      </c>
      <c r="AP23" s="46">
        <v>2</v>
      </c>
      <c r="AQ23" s="46"/>
      <c r="AR23" s="46"/>
      <c r="AS23" s="46"/>
      <c r="AT23" s="46"/>
      <c r="AU23" s="55">
        <v>8</v>
      </c>
      <c r="AV23" s="47">
        <f t="shared" si="3"/>
        <v>34</v>
      </c>
      <c r="AW23" s="46">
        <v>25</v>
      </c>
      <c r="AX23" s="46">
        <v>11</v>
      </c>
      <c r="AY23" s="46">
        <v>40</v>
      </c>
      <c r="AZ23" s="1">
        <v>72</v>
      </c>
    </row>
    <row r="24" spans="1:52" x14ac:dyDescent="0.25">
      <c r="A24" s="67">
        <v>15</v>
      </c>
      <c r="B24" s="1" t="s">
        <v>110</v>
      </c>
      <c r="C24" s="1">
        <v>4</v>
      </c>
      <c r="D24" s="46">
        <v>4</v>
      </c>
      <c r="E24" s="46">
        <v>5</v>
      </c>
      <c r="F24" s="46">
        <v>5</v>
      </c>
      <c r="G24" s="46">
        <v>6</v>
      </c>
      <c r="H24" s="46">
        <v>4</v>
      </c>
      <c r="I24" s="46"/>
      <c r="J24" s="46"/>
      <c r="K24" s="46">
        <v>4</v>
      </c>
      <c r="L24" s="46">
        <v>5</v>
      </c>
      <c r="M24" s="46"/>
      <c r="N24" s="46"/>
      <c r="O24" s="46"/>
      <c r="P24" s="46"/>
      <c r="Q24" s="46">
        <v>1</v>
      </c>
      <c r="R24" s="46">
        <v>4</v>
      </c>
      <c r="S24" s="47">
        <f t="shared" si="1"/>
        <v>42</v>
      </c>
      <c r="T24" s="55">
        <v>6</v>
      </c>
      <c r="U24" s="46">
        <v>1</v>
      </c>
      <c r="V24" s="46"/>
      <c r="W24" s="46">
        <v>2</v>
      </c>
      <c r="X24" s="46">
        <v>3</v>
      </c>
      <c r="Y24" s="46"/>
      <c r="Z24" s="46"/>
      <c r="AA24" s="46"/>
      <c r="AB24" s="46"/>
      <c r="AC24" s="46">
        <v>7</v>
      </c>
      <c r="AD24" s="46"/>
      <c r="AE24" s="46">
        <v>1</v>
      </c>
      <c r="AF24" s="47">
        <f t="shared" si="2"/>
        <v>20</v>
      </c>
      <c r="AG24" s="55">
        <v>2</v>
      </c>
      <c r="AH24" s="46">
        <v>2</v>
      </c>
      <c r="AI24" s="46">
        <v>3</v>
      </c>
      <c r="AJ24" s="46">
        <v>3</v>
      </c>
      <c r="AK24" s="46">
        <v>2</v>
      </c>
      <c r="AL24" s="46">
        <v>2</v>
      </c>
      <c r="AM24" s="46"/>
      <c r="AN24" s="46"/>
      <c r="AO24" s="46"/>
      <c r="AP24" s="46"/>
      <c r="AQ24" s="46"/>
      <c r="AR24" s="46"/>
      <c r="AS24" s="46"/>
      <c r="AT24" s="46"/>
      <c r="AU24" s="55">
        <v>5</v>
      </c>
      <c r="AV24" s="47">
        <f t="shared" si="3"/>
        <v>19</v>
      </c>
      <c r="AW24" s="46">
        <v>17</v>
      </c>
      <c r="AX24" s="46">
        <v>14</v>
      </c>
      <c r="AY24" s="46">
        <v>42</v>
      </c>
      <c r="AZ24" s="1">
        <v>59</v>
      </c>
    </row>
    <row r="25" spans="1:52" x14ac:dyDescent="0.25">
      <c r="A25" s="67">
        <v>16</v>
      </c>
      <c r="B25" s="1" t="s">
        <v>111</v>
      </c>
      <c r="C25" s="1">
        <v>2</v>
      </c>
      <c r="D25" s="46">
        <v>4</v>
      </c>
      <c r="E25" s="46">
        <v>1</v>
      </c>
      <c r="F25" s="46">
        <v>5</v>
      </c>
      <c r="G25" s="46">
        <v>6</v>
      </c>
      <c r="H25" s="46">
        <v>4</v>
      </c>
      <c r="I25" s="46"/>
      <c r="J25" s="46"/>
      <c r="K25" s="46">
        <v>4</v>
      </c>
      <c r="L25" s="46">
        <v>1</v>
      </c>
      <c r="M25" s="46"/>
      <c r="N25" s="46"/>
      <c r="O25" s="46">
        <v>4</v>
      </c>
      <c r="P25" s="46">
        <v>6</v>
      </c>
      <c r="Q25" s="46"/>
      <c r="R25" s="46"/>
      <c r="S25" s="47">
        <f t="shared" si="1"/>
        <v>37</v>
      </c>
      <c r="T25" s="55">
        <v>6</v>
      </c>
      <c r="U25" s="46">
        <v>2</v>
      </c>
      <c r="V25" s="46"/>
      <c r="W25" s="46">
        <v>2</v>
      </c>
      <c r="X25" s="46">
        <v>4</v>
      </c>
      <c r="Y25" s="46">
        <v>2</v>
      </c>
      <c r="Z25" s="46"/>
      <c r="AA25" s="46"/>
      <c r="AB25" s="46"/>
      <c r="AC25" s="46">
        <v>9</v>
      </c>
      <c r="AD25" s="46"/>
      <c r="AE25" s="46"/>
      <c r="AF25" s="47">
        <f t="shared" si="2"/>
        <v>25</v>
      </c>
      <c r="AG25" s="55">
        <v>3</v>
      </c>
      <c r="AH25" s="46">
        <v>3</v>
      </c>
      <c r="AI25" s="46">
        <v>2</v>
      </c>
      <c r="AJ25" s="46"/>
      <c r="AK25" s="46">
        <v>1</v>
      </c>
      <c r="AL25" s="46">
        <v>2</v>
      </c>
      <c r="AM25" s="46"/>
      <c r="AN25" s="46"/>
      <c r="AO25" s="46"/>
      <c r="AP25" s="46"/>
      <c r="AQ25" s="46"/>
      <c r="AR25" s="46"/>
      <c r="AS25" s="46">
        <v>1</v>
      </c>
      <c r="AT25" s="46">
        <v>1</v>
      </c>
      <c r="AU25" s="55"/>
      <c r="AV25" s="47">
        <f t="shared" si="3"/>
        <v>13</v>
      </c>
      <c r="AW25" s="46">
        <v>15</v>
      </c>
      <c r="AX25" s="46">
        <v>16</v>
      </c>
      <c r="AY25" s="46">
        <v>38</v>
      </c>
      <c r="AZ25" s="1">
        <v>52</v>
      </c>
    </row>
    <row r="26" spans="1:52" x14ac:dyDescent="0.25">
      <c r="A26" s="67">
        <v>17</v>
      </c>
      <c r="B26" s="1" t="s">
        <v>112</v>
      </c>
      <c r="C26" s="1">
        <v>5</v>
      </c>
      <c r="D26" s="46">
        <v>4</v>
      </c>
      <c r="E26" s="46">
        <v>3</v>
      </c>
      <c r="F26" s="46">
        <v>5</v>
      </c>
      <c r="G26" s="46">
        <v>6</v>
      </c>
      <c r="H26" s="46">
        <v>4</v>
      </c>
      <c r="I26" s="46"/>
      <c r="J26" s="46"/>
      <c r="K26" s="46">
        <v>5</v>
      </c>
      <c r="L26" s="46">
        <v>5</v>
      </c>
      <c r="M26" s="46"/>
      <c r="N26" s="46"/>
      <c r="O26" s="46">
        <v>2</v>
      </c>
      <c r="P26" s="46">
        <v>6</v>
      </c>
      <c r="Q26" s="46"/>
      <c r="R26" s="46"/>
      <c r="S26" s="47">
        <f t="shared" si="1"/>
        <v>45</v>
      </c>
      <c r="T26" s="55">
        <v>5</v>
      </c>
      <c r="U26" s="46">
        <v>2</v>
      </c>
      <c r="V26" s="46">
        <v>2</v>
      </c>
      <c r="W26" s="46"/>
      <c r="X26" s="46">
        <v>2</v>
      </c>
      <c r="Y26" s="46">
        <v>1</v>
      </c>
      <c r="Z26" s="46"/>
      <c r="AA26" s="46"/>
      <c r="AB26" s="46"/>
      <c r="AC26" s="46">
        <v>4</v>
      </c>
      <c r="AD26" s="46"/>
      <c r="AE26" s="46">
        <v>1</v>
      </c>
      <c r="AF26" s="47">
        <f t="shared" si="2"/>
        <v>17</v>
      </c>
      <c r="AG26" s="55">
        <v>2</v>
      </c>
      <c r="AH26" s="46">
        <v>4</v>
      </c>
      <c r="AI26" s="46">
        <v>3</v>
      </c>
      <c r="AJ26" s="46">
        <v>3</v>
      </c>
      <c r="AK26" s="46">
        <v>4</v>
      </c>
      <c r="AL26" s="46">
        <v>3</v>
      </c>
      <c r="AM26" s="46"/>
      <c r="AN26" s="46"/>
      <c r="AO26" s="46">
        <v>4</v>
      </c>
      <c r="AP26" s="46">
        <v>3</v>
      </c>
      <c r="AQ26" s="46"/>
      <c r="AR26" s="46"/>
      <c r="AS26" s="46"/>
      <c r="AT26" s="46"/>
      <c r="AU26" s="55">
        <v>2</v>
      </c>
      <c r="AV26" s="47">
        <f t="shared" si="3"/>
        <v>28</v>
      </c>
      <c r="AW26" s="46">
        <v>18</v>
      </c>
      <c r="AX26" s="46">
        <v>14</v>
      </c>
      <c r="AY26" s="46">
        <v>35</v>
      </c>
      <c r="AZ26" s="1">
        <v>59</v>
      </c>
    </row>
    <row r="27" spans="1:52" x14ac:dyDescent="0.25">
      <c r="A27" s="67">
        <v>18</v>
      </c>
      <c r="B27" s="1" t="s">
        <v>113</v>
      </c>
      <c r="C27" s="1">
        <v>5</v>
      </c>
      <c r="D27" s="46">
        <v>4</v>
      </c>
      <c r="E27" s="46">
        <v>3</v>
      </c>
      <c r="F27" s="46">
        <v>5</v>
      </c>
      <c r="G27" s="46"/>
      <c r="H27" s="46"/>
      <c r="I27" s="46">
        <v>4</v>
      </c>
      <c r="J27" s="46">
        <v>6</v>
      </c>
      <c r="K27" s="46">
        <v>4</v>
      </c>
      <c r="L27" s="46">
        <v>5</v>
      </c>
      <c r="M27" s="46"/>
      <c r="N27" s="46"/>
      <c r="O27" s="46">
        <v>4</v>
      </c>
      <c r="P27" s="46">
        <v>6</v>
      </c>
      <c r="Q27" s="46"/>
      <c r="R27" s="46"/>
      <c r="S27" s="47">
        <f t="shared" si="1"/>
        <v>46</v>
      </c>
      <c r="T27" s="55">
        <v>6</v>
      </c>
      <c r="U27" s="46">
        <v>3</v>
      </c>
      <c r="V27" s="46">
        <v>5</v>
      </c>
      <c r="W27" s="46">
        <v>1</v>
      </c>
      <c r="X27" s="46">
        <v>4</v>
      </c>
      <c r="Y27" s="46">
        <v>2</v>
      </c>
      <c r="Z27" s="46"/>
      <c r="AA27" s="46"/>
      <c r="AB27" s="46"/>
      <c r="AC27" s="46">
        <v>6</v>
      </c>
      <c r="AD27" s="46"/>
      <c r="AE27" s="46">
        <v>9</v>
      </c>
      <c r="AF27" s="47">
        <f t="shared" si="2"/>
        <v>36</v>
      </c>
      <c r="AG27" s="55">
        <v>4</v>
      </c>
      <c r="AH27" s="46">
        <v>3</v>
      </c>
      <c r="AI27" s="46">
        <v>5</v>
      </c>
      <c r="AJ27" s="46">
        <v>4</v>
      </c>
      <c r="AK27" s="46">
        <v>2</v>
      </c>
      <c r="AL27" s="46">
        <v>3</v>
      </c>
      <c r="AM27" s="46"/>
      <c r="AN27" s="46"/>
      <c r="AO27" s="46">
        <v>1</v>
      </c>
      <c r="AP27" s="46">
        <v>4</v>
      </c>
      <c r="AQ27" s="46"/>
      <c r="AR27" s="46"/>
      <c r="AS27" s="46">
        <v>2</v>
      </c>
      <c r="AT27" s="46">
        <v>2</v>
      </c>
      <c r="AU27" s="55"/>
      <c r="AV27" s="47">
        <f t="shared" si="3"/>
        <v>30</v>
      </c>
      <c r="AW27" s="46">
        <v>23</v>
      </c>
      <c r="AX27" s="46">
        <v>14</v>
      </c>
      <c r="AY27" s="46">
        <v>40</v>
      </c>
      <c r="AZ27" s="1">
        <v>65</v>
      </c>
    </row>
    <row r="28" spans="1:52" x14ac:dyDescent="0.25">
      <c r="A28" s="67">
        <v>19</v>
      </c>
      <c r="B28" s="1" t="s">
        <v>114</v>
      </c>
      <c r="C28" s="1">
        <v>5</v>
      </c>
      <c r="D28" s="46">
        <v>4</v>
      </c>
      <c r="E28" s="46"/>
      <c r="F28" s="46">
        <v>5</v>
      </c>
      <c r="G28" s="46">
        <v>6</v>
      </c>
      <c r="H28" s="46">
        <v>4</v>
      </c>
      <c r="I28" s="46"/>
      <c r="J28" s="46"/>
      <c r="K28" s="46"/>
      <c r="L28" s="46"/>
      <c r="M28" s="46">
        <v>4</v>
      </c>
      <c r="N28" s="46">
        <v>4</v>
      </c>
      <c r="O28" s="46">
        <v>4</v>
      </c>
      <c r="P28" s="46">
        <v>6</v>
      </c>
      <c r="Q28" s="46"/>
      <c r="R28" s="46"/>
      <c r="S28" s="47">
        <f t="shared" si="1"/>
        <v>42</v>
      </c>
      <c r="T28" s="55">
        <v>6</v>
      </c>
      <c r="U28" s="46">
        <v>2</v>
      </c>
      <c r="V28" s="46">
        <v>1</v>
      </c>
      <c r="W28" s="46">
        <v>3</v>
      </c>
      <c r="X28" s="46">
        <v>4</v>
      </c>
      <c r="Y28" s="46">
        <v>5</v>
      </c>
      <c r="Z28" s="46"/>
      <c r="AA28" s="46"/>
      <c r="AB28" s="46"/>
      <c r="AC28" s="46">
        <v>8</v>
      </c>
      <c r="AD28" s="46">
        <v>6</v>
      </c>
      <c r="AE28" s="46"/>
      <c r="AF28" s="47">
        <f t="shared" si="2"/>
        <v>35</v>
      </c>
      <c r="AG28" s="55">
        <v>2</v>
      </c>
      <c r="AH28" s="46">
        <v>2</v>
      </c>
      <c r="AI28" s="46">
        <v>3</v>
      </c>
      <c r="AJ28" s="46">
        <v>4</v>
      </c>
      <c r="AK28" s="46">
        <v>4</v>
      </c>
      <c r="AL28" s="46">
        <v>3</v>
      </c>
      <c r="AM28" s="46"/>
      <c r="AN28" s="46"/>
      <c r="AO28" s="46"/>
      <c r="AP28" s="46">
        <v>4</v>
      </c>
      <c r="AQ28" s="46"/>
      <c r="AR28" s="46"/>
      <c r="AS28" s="46">
        <v>2</v>
      </c>
      <c r="AT28" s="46">
        <v>1</v>
      </c>
      <c r="AU28" s="55"/>
      <c r="AV28" s="47">
        <f t="shared" si="3"/>
        <v>25</v>
      </c>
      <c r="AW28" s="46">
        <v>21</v>
      </c>
      <c r="AX28" s="46">
        <v>20</v>
      </c>
      <c r="AY28" s="63">
        <v>40</v>
      </c>
      <c r="AZ28">
        <v>75</v>
      </c>
    </row>
    <row r="29" spans="1:52" x14ac:dyDescent="0.25">
      <c r="A29" s="67">
        <v>20</v>
      </c>
      <c r="B29" s="1" t="s">
        <v>115</v>
      </c>
      <c r="C29" s="1">
        <v>5</v>
      </c>
      <c r="D29" s="46">
        <v>4</v>
      </c>
      <c r="E29" s="46"/>
      <c r="F29" s="46">
        <v>5</v>
      </c>
      <c r="G29" s="46">
        <v>6</v>
      </c>
      <c r="H29" s="46">
        <v>4</v>
      </c>
      <c r="I29" s="46"/>
      <c r="J29" s="46"/>
      <c r="K29" s="46">
        <v>2</v>
      </c>
      <c r="L29" s="46"/>
      <c r="M29" s="46"/>
      <c r="N29" s="46"/>
      <c r="O29" s="46">
        <v>4</v>
      </c>
      <c r="P29" s="46">
        <v>2</v>
      </c>
      <c r="Q29" s="46"/>
      <c r="R29" s="46"/>
      <c r="S29" s="47">
        <f t="shared" si="1"/>
        <v>32</v>
      </c>
      <c r="T29" s="55">
        <v>1</v>
      </c>
      <c r="U29" s="46"/>
      <c r="V29" s="46"/>
      <c r="W29" s="46"/>
      <c r="X29" s="46"/>
      <c r="Y29" s="46">
        <v>4</v>
      </c>
      <c r="Z29" s="46"/>
      <c r="AA29" s="46">
        <v>2</v>
      </c>
      <c r="AB29" s="46">
        <v>8</v>
      </c>
      <c r="AC29" s="46"/>
      <c r="AD29" s="46">
        <v>5</v>
      </c>
      <c r="AE29" s="46"/>
      <c r="AF29" s="47">
        <f t="shared" si="2"/>
        <v>20</v>
      </c>
      <c r="AG29" s="55">
        <v>4</v>
      </c>
      <c r="AH29" s="46">
        <v>4</v>
      </c>
      <c r="AI29" s="46">
        <v>5</v>
      </c>
      <c r="AJ29" s="46">
        <v>4</v>
      </c>
      <c r="AK29" s="46"/>
      <c r="AL29" s="46"/>
      <c r="AM29" s="46"/>
      <c r="AN29" s="46">
        <v>1</v>
      </c>
      <c r="AO29" s="46">
        <v>4</v>
      </c>
      <c r="AP29" s="46"/>
      <c r="AQ29" s="46"/>
      <c r="AR29" s="46"/>
      <c r="AS29" s="46"/>
      <c r="AT29" s="46"/>
      <c r="AU29" s="55">
        <v>8</v>
      </c>
      <c r="AV29" s="47">
        <f t="shared" si="3"/>
        <v>30</v>
      </c>
      <c r="AW29" s="46">
        <v>16</v>
      </c>
      <c r="AX29" s="46">
        <v>13</v>
      </c>
      <c r="AY29" s="63">
        <v>35</v>
      </c>
      <c r="AZ29">
        <v>53</v>
      </c>
    </row>
    <row r="30" spans="1:52" x14ac:dyDescent="0.25">
      <c r="A30" s="67">
        <v>21</v>
      </c>
      <c r="B30" s="1" t="s">
        <v>116</v>
      </c>
      <c r="C30" s="1">
        <v>3</v>
      </c>
      <c r="D30" s="46">
        <v>4</v>
      </c>
      <c r="E30" s="46">
        <v>1</v>
      </c>
      <c r="F30" s="46">
        <v>5</v>
      </c>
      <c r="G30" s="46">
        <v>6</v>
      </c>
      <c r="H30" s="46">
        <v>4</v>
      </c>
      <c r="I30" s="46"/>
      <c r="J30" s="46"/>
      <c r="K30" s="46">
        <v>4</v>
      </c>
      <c r="L30" s="46">
        <v>4</v>
      </c>
      <c r="M30" s="46"/>
      <c r="N30" s="46"/>
      <c r="O30" s="46"/>
      <c r="P30" s="46"/>
      <c r="Q30" s="46"/>
      <c r="R30" s="46">
        <v>5</v>
      </c>
      <c r="S30" s="47">
        <f t="shared" si="1"/>
        <v>36</v>
      </c>
      <c r="T30" s="55">
        <v>6</v>
      </c>
      <c r="U30" s="46"/>
      <c r="V30" s="46">
        <v>2</v>
      </c>
      <c r="W30" s="46">
        <v>2</v>
      </c>
      <c r="X30" s="46">
        <v>1</v>
      </c>
      <c r="Y30" s="46">
        <v>2</v>
      </c>
      <c r="Z30" s="46"/>
      <c r="AA30" s="46"/>
      <c r="AB30" s="46"/>
      <c r="AC30" s="46">
        <v>4</v>
      </c>
      <c r="AD30" s="46"/>
      <c r="AE30" s="46">
        <v>2</v>
      </c>
      <c r="AF30" s="47">
        <f t="shared" si="2"/>
        <v>19</v>
      </c>
      <c r="AG30" s="55">
        <v>1</v>
      </c>
      <c r="AH30" s="46">
        <v>1</v>
      </c>
      <c r="AI30" s="46"/>
      <c r="AJ30" s="46">
        <v>1</v>
      </c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55"/>
      <c r="AV30" s="47">
        <f t="shared" si="3"/>
        <v>3</v>
      </c>
      <c r="AW30" s="46">
        <v>12</v>
      </c>
      <c r="AX30" s="46">
        <v>14</v>
      </c>
      <c r="AY30" s="63">
        <v>37</v>
      </c>
      <c r="AZ30">
        <v>40</v>
      </c>
    </row>
    <row r="31" spans="1:52" x14ac:dyDescent="0.25">
      <c r="A31" s="67">
        <v>22</v>
      </c>
      <c r="B31" s="1" t="s">
        <v>117</v>
      </c>
      <c r="C31" s="1">
        <v>5</v>
      </c>
      <c r="D31" s="46">
        <v>4</v>
      </c>
      <c r="E31" s="46"/>
      <c r="F31" s="46">
        <v>5</v>
      </c>
      <c r="G31" s="46"/>
      <c r="H31" s="46"/>
      <c r="I31" s="46">
        <v>3</v>
      </c>
      <c r="J31" s="46">
        <v>6</v>
      </c>
      <c r="K31" s="46">
        <v>1</v>
      </c>
      <c r="L31" s="46">
        <v>2</v>
      </c>
      <c r="M31" s="46"/>
      <c r="N31" s="46"/>
      <c r="O31" s="46"/>
      <c r="P31" s="46"/>
      <c r="Q31" s="46">
        <v>1</v>
      </c>
      <c r="R31" s="46"/>
      <c r="S31" s="47">
        <f t="shared" si="1"/>
        <v>27</v>
      </c>
      <c r="T31" s="55">
        <v>2</v>
      </c>
      <c r="U31" s="46"/>
      <c r="V31" s="46"/>
      <c r="W31" s="46"/>
      <c r="X31" s="46"/>
      <c r="Y31" s="46"/>
      <c r="Z31" s="46"/>
      <c r="AA31" s="46"/>
      <c r="AB31" s="46">
        <v>1</v>
      </c>
      <c r="AC31" s="46"/>
      <c r="AD31" s="46">
        <v>2</v>
      </c>
      <c r="AE31" s="46"/>
      <c r="AF31" s="47">
        <f t="shared" si="2"/>
        <v>5</v>
      </c>
      <c r="AG31" s="55"/>
      <c r="AH31" s="46"/>
      <c r="AI31" s="46">
        <v>3</v>
      </c>
      <c r="AJ31" s="46"/>
      <c r="AK31" s="46"/>
      <c r="AL31" s="46"/>
      <c r="AM31" s="46"/>
      <c r="AN31" s="46"/>
      <c r="AO31" s="46">
        <v>1</v>
      </c>
      <c r="AP31" s="46"/>
      <c r="AQ31" s="46"/>
      <c r="AR31" s="46"/>
      <c r="AS31" s="46"/>
      <c r="AT31" s="46"/>
      <c r="AU31" s="55">
        <v>5</v>
      </c>
      <c r="AV31" s="47">
        <f t="shared" si="3"/>
        <v>9</v>
      </c>
      <c r="AW31" s="46">
        <v>9</v>
      </c>
      <c r="AX31" s="46">
        <v>19</v>
      </c>
      <c r="AY31" s="63">
        <v>31</v>
      </c>
      <c r="AZ31">
        <v>41</v>
      </c>
    </row>
    <row r="32" spans="1:52" x14ac:dyDescent="0.25">
      <c r="A32" s="67">
        <v>23</v>
      </c>
      <c r="B32" s="1" t="s">
        <v>118</v>
      </c>
      <c r="C32" s="1">
        <v>6</v>
      </c>
      <c r="D32" s="46">
        <v>4</v>
      </c>
      <c r="E32" s="46">
        <v>2</v>
      </c>
      <c r="F32" s="46">
        <v>5</v>
      </c>
      <c r="G32" s="46"/>
      <c r="H32" s="46"/>
      <c r="I32" s="46">
        <v>4</v>
      </c>
      <c r="J32" s="46">
        <v>6</v>
      </c>
      <c r="K32" s="46">
        <v>2</v>
      </c>
      <c r="L32" s="46">
        <v>5</v>
      </c>
      <c r="M32" s="46"/>
      <c r="N32" s="46"/>
      <c r="O32" s="46">
        <v>3</v>
      </c>
      <c r="P32" s="46">
        <v>6</v>
      </c>
      <c r="Q32" s="46"/>
      <c r="R32" s="46"/>
      <c r="S32" s="47">
        <f t="shared" si="1"/>
        <v>43</v>
      </c>
      <c r="T32" s="55">
        <v>5</v>
      </c>
      <c r="U32" s="46">
        <v>1</v>
      </c>
      <c r="V32" s="46"/>
      <c r="W32" s="46"/>
      <c r="X32" s="46"/>
      <c r="Y32" s="46"/>
      <c r="Z32" s="46">
        <v>1</v>
      </c>
      <c r="AA32" s="46"/>
      <c r="AB32" s="46"/>
      <c r="AC32" s="46">
        <v>4</v>
      </c>
      <c r="AD32" s="46">
        <v>2</v>
      </c>
      <c r="AE32" s="46"/>
      <c r="AF32" s="47">
        <f t="shared" si="2"/>
        <v>13</v>
      </c>
      <c r="AG32" s="55">
        <v>4</v>
      </c>
      <c r="AH32" s="46">
        <v>2</v>
      </c>
      <c r="AI32" s="46">
        <v>3</v>
      </c>
      <c r="AJ32" s="46">
        <v>4</v>
      </c>
      <c r="AK32" s="46">
        <v>4</v>
      </c>
      <c r="AL32" s="46">
        <v>3</v>
      </c>
      <c r="AM32" s="46"/>
      <c r="AN32" s="46"/>
      <c r="AO32" s="46"/>
      <c r="AP32" s="46"/>
      <c r="AQ32" s="46">
        <v>4</v>
      </c>
      <c r="AR32" s="46"/>
      <c r="AS32" s="46"/>
      <c r="AT32" s="46"/>
      <c r="AU32" s="55">
        <v>5</v>
      </c>
      <c r="AV32" s="47">
        <f t="shared" si="3"/>
        <v>29</v>
      </c>
      <c r="AW32" s="46">
        <v>17</v>
      </c>
      <c r="AX32" s="46">
        <v>13</v>
      </c>
      <c r="AY32" s="63">
        <v>31</v>
      </c>
      <c r="AZ32">
        <v>54</v>
      </c>
    </row>
    <row r="33" spans="1:52" x14ac:dyDescent="0.25">
      <c r="A33" s="67">
        <v>24</v>
      </c>
      <c r="B33" s="1" t="s">
        <v>119</v>
      </c>
      <c r="C33" s="1">
        <v>3</v>
      </c>
      <c r="D33" s="46">
        <v>4</v>
      </c>
      <c r="E33" s="46">
        <v>1</v>
      </c>
      <c r="F33" s="46">
        <v>5</v>
      </c>
      <c r="G33" s="46">
        <v>6</v>
      </c>
      <c r="H33" s="46">
        <v>4</v>
      </c>
      <c r="I33" s="46"/>
      <c r="J33" s="46"/>
      <c r="K33" s="46">
        <v>5</v>
      </c>
      <c r="L33" s="46">
        <v>5</v>
      </c>
      <c r="M33" s="46"/>
      <c r="N33" s="46"/>
      <c r="O33" s="46"/>
      <c r="P33" s="46">
        <v>6</v>
      </c>
      <c r="Q33" s="46"/>
      <c r="R33" s="46"/>
      <c r="S33" s="47">
        <f t="shared" si="1"/>
        <v>39</v>
      </c>
      <c r="T33" s="55">
        <v>5</v>
      </c>
      <c r="U33" s="46"/>
      <c r="V33" s="46"/>
      <c r="W33" s="46"/>
      <c r="X33" s="46"/>
      <c r="Y33" s="46"/>
      <c r="Z33" s="46">
        <v>2</v>
      </c>
      <c r="AA33" s="46"/>
      <c r="AB33" s="46"/>
      <c r="AC33" s="46">
        <v>4</v>
      </c>
      <c r="AD33" s="46"/>
      <c r="AE33" s="46">
        <v>1</v>
      </c>
      <c r="AF33" s="47">
        <f t="shared" si="2"/>
        <v>12</v>
      </c>
      <c r="AG33" s="55">
        <v>4</v>
      </c>
      <c r="AH33" s="46">
        <v>4</v>
      </c>
      <c r="AI33" s="46">
        <v>1</v>
      </c>
      <c r="AJ33" s="46">
        <v>4</v>
      </c>
      <c r="AK33" s="46">
        <v>2</v>
      </c>
      <c r="AL33" s="46">
        <v>4</v>
      </c>
      <c r="AM33" s="46"/>
      <c r="AN33" s="46"/>
      <c r="AO33" s="46"/>
      <c r="AP33" s="46"/>
      <c r="AQ33" s="46"/>
      <c r="AR33" s="46"/>
      <c r="AS33" s="46"/>
      <c r="AT33" s="46"/>
      <c r="AU33" s="55"/>
      <c r="AV33" s="47">
        <f t="shared" si="3"/>
        <v>19</v>
      </c>
      <c r="AW33" s="46">
        <v>14</v>
      </c>
      <c r="AX33" s="46">
        <v>15</v>
      </c>
      <c r="AY33" s="63">
        <v>33</v>
      </c>
      <c r="AZ33" s="1">
        <v>42</v>
      </c>
    </row>
    <row r="34" spans="1:52" x14ac:dyDescent="0.25">
      <c r="A34" s="67">
        <v>25</v>
      </c>
      <c r="B34" s="1" t="s">
        <v>120</v>
      </c>
      <c r="C34" s="1">
        <v>4</v>
      </c>
      <c r="D34" s="46">
        <v>4</v>
      </c>
      <c r="E34" s="46"/>
      <c r="F34" s="46">
        <v>5</v>
      </c>
      <c r="G34" s="46"/>
      <c r="H34" s="46"/>
      <c r="I34" s="46">
        <v>4</v>
      </c>
      <c r="J34" s="46">
        <v>4</v>
      </c>
      <c r="K34" s="46">
        <v>4</v>
      </c>
      <c r="L34" s="46">
        <v>1</v>
      </c>
      <c r="M34" s="46"/>
      <c r="N34" s="46"/>
      <c r="O34" s="46">
        <v>2</v>
      </c>
      <c r="P34" s="46">
        <v>2</v>
      </c>
      <c r="Q34" s="46"/>
      <c r="R34" s="46"/>
      <c r="S34" s="47">
        <f t="shared" si="1"/>
        <v>30</v>
      </c>
      <c r="T34" s="55">
        <v>4</v>
      </c>
      <c r="U34" s="46">
        <v>1</v>
      </c>
      <c r="V34" s="46">
        <v>2</v>
      </c>
      <c r="W34" s="46">
        <v>1</v>
      </c>
      <c r="X34" s="46">
        <v>4</v>
      </c>
      <c r="Y34" s="46">
        <v>2</v>
      </c>
      <c r="Z34" s="46"/>
      <c r="AA34" s="46"/>
      <c r="AB34" s="46"/>
      <c r="AC34" s="46">
        <v>6</v>
      </c>
      <c r="AD34" s="46"/>
      <c r="AE34" s="46">
        <v>5</v>
      </c>
      <c r="AF34" s="47">
        <f t="shared" si="2"/>
        <v>25</v>
      </c>
      <c r="AG34" s="55">
        <v>3</v>
      </c>
      <c r="AH34" s="46">
        <v>5</v>
      </c>
      <c r="AI34" s="46">
        <v>4</v>
      </c>
      <c r="AJ34" s="46">
        <v>3</v>
      </c>
      <c r="AK34" s="46">
        <v>4</v>
      </c>
      <c r="AL34" s="46">
        <v>3</v>
      </c>
      <c r="AM34" s="46"/>
      <c r="AN34" s="46"/>
      <c r="AO34" s="46"/>
      <c r="AP34" s="46"/>
      <c r="AQ34" s="46"/>
      <c r="AR34" s="46"/>
      <c r="AS34" s="46">
        <v>4</v>
      </c>
      <c r="AT34" s="46">
        <v>1</v>
      </c>
      <c r="AU34" s="55"/>
      <c r="AV34" s="47">
        <f t="shared" si="3"/>
        <v>27</v>
      </c>
      <c r="AW34" s="46">
        <v>17</v>
      </c>
      <c r="AX34" s="46">
        <v>15</v>
      </c>
      <c r="AY34" s="63">
        <v>40</v>
      </c>
      <c r="AZ34" s="1">
        <v>58</v>
      </c>
    </row>
    <row r="35" spans="1:52" x14ac:dyDescent="0.25">
      <c r="A35" s="67">
        <v>26</v>
      </c>
      <c r="B35" s="1" t="s">
        <v>121</v>
      </c>
      <c r="C35" s="1">
        <v>6</v>
      </c>
      <c r="D35" s="46">
        <v>4</v>
      </c>
      <c r="E35" s="46">
        <v>1</v>
      </c>
      <c r="F35" s="46">
        <v>5</v>
      </c>
      <c r="G35" s="46">
        <v>4</v>
      </c>
      <c r="H35" s="46">
        <v>4</v>
      </c>
      <c r="I35" s="46"/>
      <c r="J35" s="46"/>
      <c r="K35" s="46">
        <v>4</v>
      </c>
      <c r="L35" s="46">
        <v>5</v>
      </c>
      <c r="M35" s="46"/>
      <c r="N35" s="46"/>
      <c r="O35" s="46"/>
      <c r="P35" s="46"/>
      <c r="Q35" s="46">
        <v>3</v>
      </c>
      <c r="R35" s="46">
        <v>6</v>
      </c>
      <c r="S35" s="47">
        <f t="shared" si="1"/>
        <v>42</v>
      </c>
      <c r="T35" s="55">
        <v>5</v>
      </c>
      <c r="U35" s="46"/>
      <c r="V35" s="46">
        <v>3</v>
      </c>
      <c r="W35" s="46">
        <v>2</v>
      </c>
      <c r="X35" s="46">
        <v>4</v>
      </c>
      <c r="Y35" s="46">
        <v>2</v>
      </c>
      <c r="Z35" s="46"/>
      <c r="AA35" s="46"/>
      <c r="AB35" s="46"/>
      <c r="AC35" s="46">
        <v>9</v>
      </c>
      <c r="AD35" s="46"/>
      <c r="AE35" s="46">
        <v>10</v>
      </c>
      <c r="AF35" s="47">
        <f t="shared" si="2"/>
        <v>35</v>
      </c>
      <c r="AG35" s="55">
        <v>2</v>
      </c>
      <c r="AH35" s="46">
        <v>3</v>
      </c>
      <c r="AI35" s="46">
        <v>3</v>
      </c>
      <c r="AJ35" s="46">
        <v>2</v>
      </c>
      <c r="AK35" s="46">
        <v>1</v>
      </c>
      <c r="AL35" s="46">
        <v>2</v>
      </c>
      <c r="AM35" s="46"/>
      <c r="AN35" s="46">
        <v>1</v>
      </c>
      <c r="AO35" s="46"/>
      <c r="AP35" s="46"/>
      <c r="AQ35" s="46"/>
      <c r="AR35" s="46"/>
      <c r="AS35" s="46"/>
      <c r="AT35" s="46"/>
      <c r="AU35" s="55">
        <v>2</v>
      </c>
      <c r="AV35" s="47">
        <f t="shared" si="3"/>
        <v>16</v>
      </c>
      <c r="AW35" s="46">
        <v>19</v>
      </c>
      <c r="AX35" s="46">
        <v>15</v>
      </c>
      <c r="AY35" s="63">
        <v>38</v>
      </c>
      <c r="AZ35" s="1">
        <v>51</v>
      </c>
    </row>
    <row r="36" spans="1:52" x14ac:dyDescent="0.25">
      <c r="A36" s="67">
        <v>27</v>
      </c>
      <c r="B36" s="1" t="s">
        <v>122</v>
      </c>
      <c r="C36" s="1">
        <v>6</v>
      </c>
      <c r="D36" s="46">
        <v>4</v>
      </c>
      <c r="E36" s="46">
        <v>1</v>
      </c>
      <c r="F36" s="46">
        <v>5</v>
      </c>
      <c r="G36" s="46">
        <v>6</v>
      </c>
      <c r="H36" s="46">
        <v>4</v>
      </c>
      <c r="I36" s="46"/>
      <c r="J36" s="46"/>
      <c r="K36" s="46">
        <v>5</v>
      </c>
      <c r="L36" s="46">
        <v>5</v>
      </c>
      <c r="M36" s="46"/>
      <c r="N36" s="46"/>
      <c r="O36" s="46">
        <v>4</v>
      </c>
      <c r="P36" s="46">
        <v>6</v>
      </c>
      <c r="Q36" s="46"/>
      <c r="R36" s="46"/>
      <c r="S36" s="47">
        <f t="shared" si="1"/>
        <v>46</v>
      </c>
      <c r="T36" s="55">
        <v>6</v>
      </c>
      <c r="U36" s="46">
        <v>4</v>
      </c>
      <c r="V36" s="46">
        <v>6</v>
      </c>
      <c r="W36" s="46">
        <v>2</v>
      </c>
      <c r="X36" s="46">
        <v>4</v>
      </c>
      <c r="Y36" s="46">
        <v>2</v>
      </c>
      <c r="Z36" s="46"/>
      <c r="AA36" s="46"/>
      <c r="AB36" s="46"/>
      <c r="AC36" s="46">
        <v>10</v>
      </c>
      <c r="AD36" s="46"/>
      <c r="AE36" s="46">
        <v>10</v>
      </c>
      <c r="AF36" s="47">
        <f t="shared" si="2"/>
        <v>44</v>
      </c>
      <c r="AG36" s="55">
        <v>3</v>
      </c>
      <c r="AH36" s="46">
        <v>6</v>
      </c>
      <c r="AI36" s="46">
        <v>3</v>
      </c>
      <c r="AJ36" s="46"/>
      <c r="AK36" s="46">
        <v>5</v>
      </c>
      <c r="AL36" s="46">
        <v>3</v>
      </c>
      <c r="AM36" s="46"/>
      <c r="AN36" s="46"/>
      <c r="AO36" s="46"/>
      <c r="AP36" s="46">
        <v>2</v>
      </c>
      <c r="AQ36" s="46"/>
      <c r="AR36" s="46"/>
      <c r="AS36" s="46"/>
      <c r="AT36" s="46"/>
      <c r="AU36" s="55">
        <v>8</v>
      </c>
      <c r="AV36" s="47">
        <f t="shared" si="3"/>
        <v>30</v>
      </c>
      <c r="AW36" s="46">
        <v>24</v>
      </c>
      <c r="AX36" s="46">
        <v>19</v>
      </c>
      <c r="AY36" s="63">
        <v>34</v>
      </c>
      <c r="AZ36" s="1">
        <v>71</v>
      </c>
    </row>
    <row r="37" spans="1:52" x14ac:dyDescent="0.25">
      <c r="A37" s="67">
        <v>28</v>
      </c>
      <c r="B37" s="1" t="s">
        <v>123</v>
      </c>
      <c r="C37" s="1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7">
        <f t="shared" si="1"/>
        <v>0</v>
      </c>
      <c r="T37" s="55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7">
        <f t="shared" si="2"/>
        <v>0</v>
      </c>
      <c r="AG37" s="55"/>
      <c r="AH37" s="46"/>
      <c r="AI37" s="46">
        <v>3</v>
      </c>
      <c r="AJ37" s="46"/>
      <c r="AK37" s="46"/>
      <c r="AL37" s="46"/>
      <c r="AM37" s="46"/>
      <c r="AN37" s="46">
        <v>2</v>
      </c>
      <c r="AO37" s="46"/>
      <c r="AP37" s="46"/>
      <c r="AQ37" s="46"/>
      <c r="AR37" s="46">
        <v>1</v>
      </c>
      <c r="AS37" s="46"/>
      <c r="AT37" s="46"/>
      <c r="AU37" s="55"/>
      <c r="AV37" s="47">
        <f t="shared" si="3"/>
        <v>6</v>
      </c>
      <c r="AW37" s="46">
        <v>2</v>
      </c>
      <c r="AX37" s="46">
        <v>14</v>
      </c>
      <c r="AY37" s="63">
        <v>22</v>
      </c>
      <c r="AZ37" s="1">
        <v>0</v>
      </c>
    </row>
    <row r="38" spans="1:52" x14ac:dyDescent="0.25">
      <c r="A38" s="67">
        <v>29</v>
      </c>
      <c r="B38" s="1" t="s">
        <v>124</v>
      </c>
      <c r="C38" s="1">
        <v>5</v>
      </c>
      <c r="D38" s="46">
        <v>4</v>
      </c>
      <c r="E38" s="46">
        <v>1</v>
      </c>
      <c r="F38" s="46">
        <v>5</v>
      </c>
      <c r="G38" s="46">
        <v>6</v>
      </c>
      <c r="H38" s="46">
        <v>4</v>
      </c>
      <c r="I38" s="46"/>
      <c r="J38" s="46"/>
      <c r="K38" s="46">
        <v>4</v>
      </c>
      <c r="L38" s="46">
        <v>5</v>
      </c>
      <c r="M38" s="46"/>
      <c r="N38" s="46"/>
      <c r="O38" s="46"/>
      <c r="P38" s="46"/>
      <c r="Q38" s="46">
        <v>3</v>
      </c>
      <c r="R38" s="46">
        <v>3</v>
      </c>
      <c r="S38" s="47">
        <f t="shared" si="1"/>
        <v>40</v>
      </c>
      <c r="T38" s="55">
        <v>6</v>
      </c>
      <c r="U38" s="46">
        <v>1</v>
      </c>
      <c r="V38" s="46">
        <v>1</v>
      </c>
      <c r="W38" s="46"/>
      <c r="X38" s="46">
        <v>6</v>
      </c>
      <c r="Y38" s="46">
        <v>2</v>
      </c>
      <c r="Z38" s="46"/>
      <c r="AA38" s="46"/>
      <c r="AB38" s="46"/>
      <c r="AC38" s="46">
        <v>8</v>
      </c>
      <c r="AD38" s="46"/>
      <c r="AE38" s="46">
        <v>2</v>
      </c>
      <c r="AF38" s="47">
        <f t="shared" si="2"/>
        <v>26</v>
      </c>
      <c r="AG38" s="55">
        <v>3</v>
      </c>
      <c r="AH38" s="46">
        <v>5</v>
      </c>
      <c r="AI38" s="46">
        <v>3</v>
      </c>
      <c r="AJ38" s="46">
        <v>4</v>
      </c>
      <c r="AK38" s="46">
        <v>2</v>
      </c>
      <c r="AL38" s="46">
        <v>4</v>
      </c>
      <c r="AM38" s="46"/>
      <c r="AN38" s="46"/>
      <c r="AO38" s="46"/>
      <c r="AP38" s="46"/>
      <c r="AQ38" s="46"/>
      <c r="AR38" s="46"/>
      <c r="AS38" s="46">
        <v>2</v>
      </c>
      <c r="AT38" s="46">
        <v>1</v>
      </c>
      <c r="AU38" s="55"/>
      <c r="AV38" s="47">
        <f t="shared" si="3"/>
        <v>24</v>
      </c>
      <c r="AW38" s="46">
        <v>18</v>
      </c>
      <c r="AX38" s="46">
        <v>16</v>
      </c>
      <c r="AY38" s="63">
        <v>37</v>
      </c>
      <c r="AZ38">
        <v>48</v>
      </c>
    </row>
    <row r="39" spans="1:52" x14ac:dyDescent="0.25">
      <c r="A39" s="67">
        <v>30</v>
      </c>
      <c r="B39" s="1" t="s">
        <v>125</v>
      </c>
      <c r="C39" s="1">
        <v>5</v>
      </c>
      <c r="D39" s="46">
        <v>4</v>
      </c>
      <c r="E39" s="46"/>
      <c r="F39" s="46">
        <v>5</v>
      </c>
      <c r="G39" s="46">
        <v>6</v>
      </c>
      <c r="H39" s="46">
        <v>4</v>
      </c>
      <c r="I39" s="46"/>
      <c r="J39" s="46"/>
      <c r="K39" s="46">
        <v>5</v>
      </c>
      <c r="L39" s="46">
        <v>4</v>
      </c>
      <c r="M39" s="46"/>
      <c r="N39" s="46"/>
      <c r="O39" s="46">
        <v>4</v>
      </c>
      <c r="P39" s="46">
        <v>6</v>
      </c>
      <c r="Q39" s="46"/>
      <c r="R39" s="46"/>
      <c r="S39" s="47">
        <f t="shared" si="1"/>
        <v>43</v>
      </c>
      <c r="T39" s="55">
        <v>6</v>
      </c>
      <c r="U39" s="46">
        <v>4</v>
      </c>
      <c r="V39" s="46">
        <v>6</v>
      </c>
      <c r="W39" s="46">
        <v>2</v>
      </c>
      <c r="X39" s="46">
        <v>5</v>
      </c>
      <c r="Y39" s="46">
        <v>4</v>
      </c>
      <c r="Z39" s="46"/>
      <c r="AA39" s="46"/>
      <c r="AB39" s="46">
        <v>10</v>
      </c>
      <c r="AC39" s="46"/>
      <c r="AD39" s="46">
        <v>6</v>
      </c>
      <c r="AE39" s="46"/>
      <c r="AF39" s="47">
        <f t="shared" si="2"/>
        <v>43</v>
      </c>
      <c r="AG39" s="55"/>
      <c r="AH39" s="46"/>
      <c r="AI39" s="46">
        <v>1</v>
      </c>
      <c r="AJ39" s="46"/>
      <c r="AK39" s="46"/>
      <c r="AL39" s="46"/>
      <c r="AM39" s="46">
        <v>4</v>
      </c>
      <c r="AN39" s="46">
        <v>1</v>
      </c>
      <c r="AO39" s="46">
        <v>1</v>
      </c>
      <c r="AP39" s="46"/>
      <c r="AQ39" s="46"/>
      <c r="AR39" s="46"/>
      <c r="AS39" s="46">
        <v>5</v>
      </c>
      <c r="AT39" s="46">
        <v>4</v>
      </c>
      <c r="AU39" s="55"/>
      <c r="AV39" s="47">
        <f t="shared" si="3"/>
        <v>16</v>
      </c>
      <c r="AW39" s="46">
        <v>21</v>
      </c>
      <c r="AX39" s="46">
        <v>19</v>
      </c>
      <c r="AY39" s="63">
        <v>37</v>
      </c>
      <c r="AZ39">
        <v>73</v>
      </c>
    </row>
    <row r="40" spans="1:52" x14ac:dyDescent="0.25">
      <c r="A40" s="67">
        <v>31</v>
      </c>
      <c r="B40" s="1" t="s">
        <v>126</v>
      </c>
      <c r="C40" s="1">
        <v>5</v>
      </c>
      <c r="D40" s="46">
        <v>4</v>
      </c>
      <c r="E40" s="46"/>
      <c r="F40" s="46">
        <v>5</v>
      </c>
      <c r="G40" s="46"/>
      <c r="H40" s="46"/>
      <c r="I40" s="46">
        <v>3</v>
      </c>
      <c r="J40" s="46">
        <v>6</v>
      </c>
      <c r="K40" s="46">
        <v>4</v>
      </c>
      <c r="L40" s="46">
        <v>2</v>
      </c>
      <c r="M40" s="46"/>
      <c r="N40" s="46"/>
      <c r="O40" s="46">
        <v>2</v>
      </c>
      <c r="P40" s="46">
        <v>5</v>
      </c>
      <c r="Q40" s="46"/>
      <c r="R40" s="46"/>
      <c r="S40" s="47">
        <f t="shared" si="1"/>
        <v>36</v>
      </c>
      <c r="T40" s="55"/>
      <c r="U40" s="46">
        <v>2</v>
      </c>
      <c r="V40" s="46">
        <v>4</v>
      </c>
      <c r="W40" s="46"/>
      <c r="X40" s="46"/>
      <c r="Y40" s="46"/>
      <c r="Z40" s="46"/>
      <c r="AA40" s="46">
        <v>4</v>
      </c>
      <c r="AB40" s="46"/>
      <c r="AC40" s="46">
        <v>8</v>
      </c>
      <c r="AD40" s="46"/>
      <c r="AE40" s="46"/>
      <c r="AF40" s="47">
        <f t="shared" si="2"/>
        <v>18</v>
      </c>
      <c r="AG40" s="55">
        <v>5</v>
      </c>
      <c r="AH40" s="46">
        <v>4</v>
      </c>
      <c r="AI40" s="46">
        <v>2</v>
      </c>
      <c r="AJ40" s="46"/>
      <c r="AK40" s="46"/>
      <c r="AL40" s="46"/>
      <c r="AM40" s="46"/>
      <c r="AN40" s="46"/>
      <c r="AO40" s="46">
        <v>4</v>
      </c>
      <c r="AP40" s="46"/>
      <c r="AQ40" s="46"/>
      <c r="AR40" s="46"/>
      <c r="AS40" s="46">
        <v>5</v>
      </c>
      <c r="AT40" s="46">
        <v>4</v>
      </c>
      <c r="AU40" s="55"/>
      <c r="AV40" s="47">
        <f t="shared" si="3"/>
        <v>24</v>
      </c>
      <c r="AW40" s="46">
        <v>16</v>
      </c>
      <c r="AX40" s="46">
        <v>17</v>
      </c>
      <c r="AY40" s="63">
        <v>29</v>
      </c>
      <c r="AZ40">
        <v>54</v>
      </c>
    </row>
    <row r="41" spans="1:52" x14ac:dyDescent="0.25">
      <c r="A41" s="67">
        <v>32</v>
      </c>
      <c r="B41" s="1" t="s">
        <v>127</v>
      </c>
      <c r="C41" s="1">
        <v>4</v>
      </c>
      <c r="D41" s="46">
        <v>4</v>
      </c>
      <c r="E41" s="46">
        <v>3</v>
      </c>
      <c r="F41" s="46">
        <v>4</v>
      </c>
      <c r="G41" s="46">
        <v>6</v>
      </c>
      <c r="H41" s="46">
        <v>4</v>
      </c>
      <c r="I41" s="46"/>
      <c r="J41" s="46"/>
      <c r="K41" s="46">
        <v>5</v>
      </c>
      <c r="L41" s="46">
        <v>5</v>
      </c>
      <c r="M41" s="46"/>
      <c r="N41" s="46"/>
      <c r="O41" s="46">
        <v>4</v>
      </c>
      <c r="P41" s="46">
        <v>6</v>
      </c>
      <c r="Q41" s="46"/>
      <c r="R41" s="46"/>
      <c r="S41" s="47">
        <f t="shared" si="1"/>
        <v>45</v>
      </c>
      <c r="T41" s="55">
        <v>6</v>
      </c>
      <c r="U41" s="46">
        <v>2</v>
      </c>
      <c r="V41" s="46">
        <v>5</v>
      </c>
      <c r="W41" s="46">
        <v>1</v>
      </c>
      <c r="X41" s="46">
        <v>5</v>
      </c>
      <c r="Y41" s="46">
        <v>4</v>
      </c>
      <c r="Z41" s="46"/>
      <c r="AA41" s="46"/>
      <c r="AB41" s="46"/>
      <c r="AC41" s="46">
        <v>8</v>
      </c>
      <c r="AD41" s="46"/>
      <c r="AE41" s="46">
        <v>10</v>
      </c>
      <c r="AF41" s="47">
        <f t="shared" si="2"/>
        <v>41</v>
      </c>
      <c r="AG41" s="55">
        <v>4</v>
      </c>
      <c r="AH41" s="46">
        <v>5</v>
      </c>
      <c r="AI41" s="46">
        <v>5</v>
      </c>
      <c r="AJ41" s="46">
        <v>4</v>
      </c>
      <c r="AK41" s="46"/>
      <c r="AL41" s="46"/>
      <c r="AM41" s="46"/>
      <c r="AN41" s="46"/>
      <c r="AO41" s="46">
        <v>4</v>
      </c>
      <c r="AP41" s="46">
        <v>4</v>
      </c>
      <c r="AQ41" s="46">
        <v>5</v>
      </c>
      <c r="AR41" s="46">
        <v>4</v>
      </c>
      <c r="AS41" s="46">
        <v>4</v>
      </c>
      <c r="AT41" s="46"/>
      <c r="AU41" s="55"/>
      <c r="AV41" s="47">
        <f t="shared" si="3"/>
        <v>39</v>
      </c>
      <c r="AW41" s="46">
        <v>25</v>
      </c>
      <c r="AX41" s="46">
        <v>20</v>
      </c>
      <c r="AY41" s="63">
        <v>42</v>
      </c>
      <c r="AZ41">
        <v>77</v>
      </c>
    </row>
    <row r="42" spans="1:52" x14ac:dyDescent="0.25">
      <c r="A42" s="67">
        <v>33</v>
      </c>
      <c r="B42" s="1" t="s">
        <v>128</v>
      </c>
      <c r="C42" s="1">
        <v>6</v>
      </c>
      <c r="D42" s="46">
        <v>4</v>
      </c>
      <c r="E42" s="46">
        <v>2</v>
      </c>
      <c r="F42" s="46">
        <v>4</v>
      </c>
      <c r="G42" s="46">
        <v>5</v>
      </c>
      <c r="H42" s="46">
        <v>3</v>
      </c>
      <c r="I42" s="46"/>
      <c r="J42" s="46"/>
      <c r="K42" s="46">
        <v>5</v>
      </c>
      <c r="L42" s="46">
        <v>5</v>
      </c>
      <c r="M42" s="46"/>
      <c r="N42" s="46"/>
      <c r="O42" s="46">
        <v>4</v>
      </c>
      <c r="P42" s="46">
        <v>5</v>
      </c>
      <c r="Q42" s="46"/>
      <c r="R42" s="46"/>
      <c r="S42" s="47">
        <f t="shared" si="1"/>
        <v>43</v>
      </c>
      <c r="T42" s="55">
        <v>6</v>
      </c>
      <c r="U42" s="46">
        <v>2</v>
      </c>
      <c r="V42" s="46">
        <v>6</v>
      </c>
      <c r="W42" s="46">
        <v>2</v>
      </c>
      <c r="X42" s="46">
        <v>5</v>
      </c>
      <c r="Y42" s="46">
        <v>2</v>
      </c>
      <c r="Z42" s="46"/>
      <c r="AA42" s="46"/>
      <c r="AB42" s="46"/>
      <c r="AC42" s="46">
        <v>4</v>
      </c>
      <c r="AD42" s="46"/>
      <c r="AE42" s="46">
        <v>5</v>
      </c>
      <c r="AF42" s="47">
        <f t="shared" si="2"/>
        <v>32</v>
      </c>
      <c r="AG42" s="55">
        <v>4</v>
      </c>
      <c r="AH42" s="46">
        <v>2</v>
      </c>
      <c r="AI42" s="46">
        <v>5</v>
      </c>
      <c r="AJ42" s="46">
        <v>5</v>
      </c>
      <c r="AK42" s="46">
        <v>5</v>
      </c>
      <c r="AL42" s="46">
        <v>4</v>
      </c>
      <c r="AM42" s="46"/>
      <c r="AN42" s="46"/>
      <c r="AO42" s="46">
        <v>5</v>
      </c>
      <c r="AP42" s="46">
        <v>4</v>
      </c>
      <c r="AQ42" s="46"/>
      <c r="AR42" s="46"/>
      <c r="AS42" s="46"/>
      <c r="AT42" s="46"/>
      <c r="AU42" s="55">
        <v>9</v>
      </c>
      <c r="AV42" s="47">
        <f t="shared" si="3"/>
        <v>43</v>
      </c>
      <c r="AW42" s="46">
        <v>25</v>
      </c>
      <c r="AX42" s="46">
        <v>14</v>
      </c>
      <c r="AY42" s="63">
        <v>47</v>
      </c>
      <c r="AZ42">
        <v>76</v>
      </c>
    </row>
    <row r="43" spans="1:52" x14ac:dyDescent="0.25">
      <c r="A43" s="67">
        <v>34</v>
      </c>
      <c r="B43" s="1" t="s">
        <v>129</v>
      </c>
      <c r="C43" s="1">
        <v>6</v>
      </c>
      <c r="D43" s="46">
        <v>4</v>
      </c>
      <c r="E43" s="46">
        <v>4</v>
      </c>
      <c r="F43" s="46">
        <v>5</v>
      </c>
      <c r="G43" s="46">
        <v>6</v>
      </c>
      <c r="H43" s="46">
        <v>4</v>
      </c>
      <c r="I43" s="46"/>
      <c r="J43" s="46"/>
      <c r="K43" s="46">
        <v>5</v>
      </c>
      <c r="L43" s="46">
        <v>4</v>
      </c>
      <c r="M43" s="46"/>
      <c r="N43" s="46"/>
      <c r="O43" s="46">
        <v>4</v>
      </c>
      <c r="P43" s="46">
        <v>4</v>
      </c>
      <c r="Q43" s="46"/>
      <c r="R43" s="46"/>
      <c r="S43" s="47">
        <f t="shared" si="1"/>
        <v>46</v>
      </c>
      <c r="T43" s="55">
        <v>5</v>
      </c>
      <c r="U43" s="46">
        <v>2</v>
      </c>
      <c r="V43" s="46">
        <v>6</v>
      </c>
      <c r="W43" s="46">
        <v>3</v>
      </c>
      <c r="X43" s="46">
        <v>4</v>
      </c>
      <c r="Y43" s="46">
        <v>5</v>
      </c>
      <c r="Z43" s="46"/>
      <c r="AA43" s="46"/>
      <c r="AB43" s="46"/>
      <c r="AC43" s="46">
        <v>6</v>
      </c>
      <c r="AD43" s="46"/>
      <c r="AE43" s="46">
        <v>8</v>
      </c>
      <c r="AF43" s="47">
        <f t="shared" si="2"/>
        <v>39</v>
      </c>
      <c r="AG43" s="55">
        <v>4</v>
      </c>
      <c r="AH43" s="46">
        <v>5</v>
      </c>
      <c r="AI43" s="46">
        <v>4</v>
      </c>
      <c r="AJ43" s="46"/>
      <c r="AK43" s="46"/>
      <c r="AL43" s="46"/>
      <c r="AM43" s="46">
        <v>2</v>
      </c>
      <c r="AN43" s="46">
        <v>4</v>
      </c>
      <c r="AO43" s="46">
        <v>1</v>
      </c>
      <c r="AP43" s="46">
        <v>3</v>
      </c>
      <c r="AQ43" s="46"/>
      <c r="AR43" s="46"/>
      <c r="AS43" s="46"/>
      <c r="AT43" s="46"/>
      <c r="AU43" s="55">
        <v>5</v>
      </c>
      <c r="AV43" s="47">
        <f t="shared" si="3"/>
        <v>28</v>
      </c>
      <c r="AW43" s="46">
        <v>23</v>
      </c>
      <c r="AX43" s="46">
        <v>16</v>
      </c>
      <c r="AY43" s="63">
        <v>46</v>
      </c>
      <c r="AZ43">
        <v>76</v>
      </c>
    </row>
    <row r="44" spans="1:52" x14ac:dyDescent="0.25">
      <c r="A44" s="67">
        <v>35</v>
      </c>
      <c r="B44" s="1" t="s">
        <v>130</v>
      </c>
      <c r="C44" s="1">
        <v>6</v>
      </c>
      <c r="D44" s="46">
        <v>4</v>
      </c>
      <c r="E44" s="46">
        <v>1</v>
      </c>
      <c r="F44" s="46">
        <v>5</v>
      </c>
      <c r="G44" s="46">
        <v>6</v>
      </c>
      <c r="H44" s="46">
        <v>4</v>
      </c>
      <c r="I44" s="46"/>
      <c r="J44" s="46"/>
      <c r="K44" s="46">
        <v>1</v>
      </c>
      <c r="L44" s="46">
        <v>5</v>
      </c>
      <c r="M44" s="46"/>
      <c r="N44" s="46"/>
      <c r="O44" s="46">
        <v>3</v>
      </c>
      <c r="P44" s="46">
        <v>6</v>
      </c>
      <c r="Q44" s="46"/>
      <c r="R44" s="46"/>
      <c r="S44" s="47">
        <f t="shared" si="1"/>
        <v>41</v>
      </c>
      <c r="T44" s="55">
        <v>5</v>
      </c>
      <c r="U44" s="46">
        <v>1</v>
      </c>
      <c r="V44" s="46"/>
      <c r="W44" s="46"/>
      <c r="X44" s="46">
        <v>5</v>
      </c>
      <c r="Y44" s="46">
        <v>2</v>
      </c>
      <c r="Z44" s="46"/>
      <c r="AA44" s="46"/>
      <c r="AB44" s="46"/>
      <c r="AC44" s="46">
        <v>8</v>
      </c>
      <c r="AD44" s="46"/>
      <c r="AE44" s="46">
        <v>6</v>
      </c>
      <c r="AF44" s="47">
        <f t="shared" si="2"/>
        <v>27</v>
      </c>
      <c r="AG44" s="55">
        <v>3</v>
      </c>
      <c r="AH44" s="46">
        <v>5</v>
      </c>
      <c r="AI44" s="46">
        <v>3</v>
      </c>
      <c r="AJ44" s="46">
        <v>5</v>
      </c>
      <c r="AK44" s="46"/>
      <c r="AL44" s="46">
        <v>5</v>
      </c>
      <c r="AM44" s="46"/>
      <c r="AN44" s="46"/>
      <c r="AO44" s="46"/>
      <c r="AP44" s="46"/>
      <c r="AQ44" s="46"/>
      <c r="AR44" s="46"/>
      <c r="AS44" s="46"/>
      <c r="AT44" s="46"/>
      <c r="AU44" s="55"/>
      <c r="AV44" s="47">
        <f t="shared" si="3"/>
        <v>21</v>
      </c>
      <c r="AW44" s="46">
        <v>18</v>
      </c>
      <c r="AX44" s="46">
        <v>15</v>
      </c>
      <c r="AY44" s="63">
        <v>35</v>
      </c>
      <c r="AZ44">
        <v>53</v>
      </c>
    </row>
    <row r="45" spans="1:52" x14ac:dyDescent="0.25">
      <c r="A45" s="67">
        <v>36</v>
      </c>
      <c r="B45" s="1" t="s">
        <v>131</v>
      </c>
      <c r="C45" s="1">
        <v>4</v>
      </c>
      <c r="D45" s="46">
        <v>4</v>
      </c>
      <c r="E45" s="46">
        <v>2</v>
      </c>
      <c r="F45" s="46">
        <v>5</v>
      </c>
      <c r="G45" s="46">
        <v>6</v>
      </c>
      <c r="H45" s="46">
        <v>4</v>
      </c>
      <c r="I45" s="46"/>
      <c r="J45" s="46"/>
      <c r="K45" s="46">
        <v>2</v>
      </c>
      <c r="L45" s="46">
        <v>1</v>
      </c>
      <c r="M45" s="46"/>
      <c r="N45" s="46"/>
      <c r="O45" s="46">
        <v>4</v>
      </c>
      <c r="P45" s="46">
        <v>2</v>
      </c>
      <c r="Q45" s="46"/>
      <c r="R45" s="46"/>
      <c r="S45" s="47">
        <f t="shared" si="1"/>
        <v>34</v>
      </c>
      <c r="T45" s="55">
        <v>6</v>
      </c>
      <c r="U45" s="46">
        <v>4</v>
      </c>
      <c r="V45" s="46">
        <v>4</v>
      </c>
      <c r="W45" s="46">
        <v>1</v>
      </c>
      <c r="X45" s="46">
        <v>1</v>
      </c>
      <c r="Y45" s="46">
        <v>5</v>
      </c>
      <c r="Z45" s="46"/>
      <c r="AA45" s="46"/>
      <c r="AB45" s="46"/>
      <c r="AC45" s="46">
        <v>2</v>
      </c>
      <c r="AD45" s="46"/>
      <c r="AE45" s="46">
        <v>10</v>
      </c>
      <c r="AF45" s="47">
        <f t="shared" si="2"/>
        <v>33</v>
      </c>
      <c r="AG45" s="55">
        <v>2</v>
      </c>
      <c r="AH45" s="46">
        <v>2</v>
      </c>
      <c r="AI45" s="46">
        <v>4</v>
      </c>
      <c r="AJ45" s="46">
        <v>1</v>
      </c>
      <c r="AK45" s="46"/>
      <c r="AL45" s="46"/>
      <c r="AM45" s="46"/>
      <c r="AN45" s="46"/>
      <c r="AO45" s="46">
        <v>2</v>
      </c>
      <c r="AP45" s="46">
        <v>2</v>
      </c>
      <c r="AQ45" s="46"/>
      <c r="AR45" s="46"/>
      <c r="AS45" s="46">
        <v>2</v>
      </c>
      <c r="AT45" s="46"/>
      <c r="AU45" s="55"/>
      <c r="AV45" s="47">
        <f t="shared" si="3"/>
        <v>15</v>
      </c>
      <c r="AW45" s="46">
        <v>17</v>
      </c>
      <c r="AX45" s="46">
        <v>15</v>
      </c>
      <c r="AY45" s="63">
        <v>40</v>
      </c>
      <c r="AZ45">
        <v>62</v>
      </c>
    </row>
    <row r="46" spans="1:52" x14ac:dyDescent="0.25">
      <c r="A46" s="67">
        <v>37</v>
      </c>
      <c r="B46" s="1" t="s">
        <v>132</v>
      </c>
      <c r="C46" s="1">
        <v>3</v>
      </c>
      <c r="D46" s="46">
        <v>4</v>
      </c>
      <c r="E46" s="46">
        <v>1</v>
      </c>
      <c r="F46" s="46">
        <v>5</v>
      </c>
      <c r="G46" s="46">
        <v>3</v>
      </c>
      <c r="H46" s="46">
        <v>4</v>
      </c>
      <c r="I46" s="46"/>
      <c r="J46" s="46"/>
      <c r="K46" s="46">
        <v>5</v>
      </c>
      <c r="L46" s="46">
        <v>5</v>
      </c>
      <c r="M46" s="46"/>
      <c r="N46" s="46"/>
      <c r="O46" s="46">
        <v>4</v>
      </c>
      <c r="P46" s="46">
        <v>6</v>
      </c>
      <c r="Q46" s="46"/>
      <c r="R46" s="46"/>
      <c r="S46" s="47">
        <f t="shared" si="1"/>
        <v>40</v>
      </c>
      <c r="T46" s="55">
        <v>4</v>
      </c>
      <c r="U46" s="46"/>
      <c r="V46" s="46">
        <v>5</v>
      </c>
      <c r="W46" s="46">
        <v>1</v>
      </c>
      <c r="X46" s="46">
        <v>4</v>
      </c>
      <c r="Y46" s="46">
        <v>4</v>
      </c>
      <c r="Z46" s="46"/>
      <c r="AA46" s="46"/>
      <c r="AB46" s="46">
        <v>8</v>
      </c>
      <c r="AC46" s="46"/>
      <c r="AD46" s="46"/>
      <c r="AE46" s="46">
        <v>10</v>
      </c>
      <c r="AF46" s="47">
        <f t="shared" si="2"/>
        <v>36</v>
      </c>
      <c r="AG46" s="55">
        <v>4</v>
      </c>
      <c r="AH46" s="46">
        <v>6</v>
      </c>
      <c r="AI46" s="46">
        <v>3</v>
      </c>
      <c r="AJ46" s="46">
        <v>5</v>
      </c>
      <c r="AK46" s="46">
        <v>3</v>
      </c>
      <c r="AL46" s="46">
        <v>6</v>
      </c>
      <c r="AM46" s="46"/>
      <c r="AN46" s="46"/>
      <c r="AO46" s="46"/>
      <c r="AP46" s="46"/>
      <c r="AQ46" s="46"/>
      <c r="AR46" s="46"/>
      <c r="AS46" s="46"/>
      <c r="AT46" s="46"/>
      <c r="AU46" s="55">
        <v>9</v>
      </c>
      <c r="AV46" s="47">
        <f t="shared" si="3"/>
        <v>36</v>
      </c>
      <c r="AW46" s="46">
        <v>23</v>
      </c>
      <c r="AX46" s="46">
        <v>14</v>
      </c>
      <c r="AY46" s="63">
        <v>33</v>
      </c>
      <c r="AZ46" s="1">
        <v>57</v>
      </c>
    </row>
    <row r="47" spans="1:52" x14ac:dyDescent="0.25">
      <c r="A47" s="67">
        <v>38</v>
      </c>
      <c r="B47" s="1" t="s">
        <v>133</v>
      </c>
      <c r="C47" s="1">
        <v>3</v>
      </c>
      <c r="D47" s="46">
        <v>4</v>
      </c>
      <c r="E47" s="46">
        <v>1</v>
      </c>
      <c r="F47" s="46">
        <v>5</v>
      </c>
      <c r="G47" s="46">
        <v>6</v>
      </c>
      <c r="H47" s="46">
        <v>4</v>
      </c>
      <c r="I47" s="46"/>
      <c r="J47" s="46"/>
      <c r="K47" s="46">
        <v>3</v>
      </c>
      <c r="L47" s="46">
        <v>4</v>
      </c>
      <c r="M47" s="46"/>
      <c r="N47" s="46"/>
      <c r="O47" s="46">
        <v>4</v>
      </c>
      <c r="P47" s="46">
        <v>1</v>
      </c>
      <c r="Q47" s="46"/>
      <c r="R47" s="46"/>
      <c r="S47" s="47">
        <f t="shared" si="1"/>
        <v>35</v>
      </c>
      <c r="T47" s="55">
        <v>6</v>
      </c>
      <c r="U47" s="46">
        <v>2</v>
      </c>
      <c r="V47" s="46">
        <v>6</v>
      </c>
      <c r="W47" s="46">
        <v>2</v>
      </c>
      <c r="X47" s="46">
        <v>5</v>
      </c>
      <c r="Y47" s="46">
        <v>5</v>
      </c>
      <c r="Z47" s="46"/>
      <c r="AA47" s="46"/>
      <c r="AB47" s="46"/>
      <c r="AC47" s="46">
        <v>8</v>
      </c>
      <c r="AD47" s="46"/>
      <c r="AE47" s="46">
        <v>10</v>
      </c>
      <c r="AF47" s="47">
        <f t="shared" si="2"/>
        <v>44</v>
      </c>
      <c r="AG47" s="55">
        <v>4</v>
      </c>
      <c r="AH47" s="46">
        <v>2</v>
      </c>
      <c r="AI47" s="46">
        <v>1</v>
      </c>
      <c r="AJ47" s="46">
        <v>2</v>
      </c>
      <c r="AK47" s="46">
        <v>2</v>
      </c>
      <c r="AL47" s="46">
        <v>4</v>
      </c>
      <c r="AM47" s="46"/>
      <c r="AN47" s="46"/>
      <c r="AO47" s="46"/>
      <c r="AP47" s="46"/>
      <c r="AQ47" s="46">
        <v>3</v>
      </c>
      <c r="AR47" s="46">
        <v>1</v>
      </c>
      <c r="AS47" s="46">
        <v>4</v>
      </c>
      <c r="AT47" s="46">
        <v>5</v>
      </c>
      <c r="AU47" s="55"/>
      <c r="AV47" s="47">
        <f t="shared" si="3"/>
        <v>28</v>
      </c>
      <c r="AW47" s="46">
        <v>22</v>
      </c>
      <c r="AX47" s="46">
        <v>15</v>
      </c>
      <c r="AY47" s="63">
        <v>41</v>
      </c>
      <c r="AZ47" s="1">
        <v>74</v>
      </c>
    </row>
    <row r="48" spans="1:52" x14ac:dyDescent="0.25">
      <c r="A48" s="67">
        <v>39</v>
      </c>
      <c r="B48" s="1" t="s">
        <v>134</v>
      </c>
      <c r="C48" s="1">
        <v>5</v>
      </c>
      <c r="D48" s="46">
        <v>4</v>
      </c>
      <c r="E48" s="46">
        <v>1</v>
      </c>
      <c r="F48" s="46">
        <v>5</v>
      </c>
      <c r="G48" s="46"/>
      <c r="H48" s="46"/>
      <c r="I48" s="46">
        <v>4</v>
      </c>
      <c r="J48" s="46">
        <v>1</v>
      </c>
      <c r="K48" s="46">
        <v>4</v>
      </c>
      <c r="L48" s="46">
        <v>4</v>
      </c>
      <c r="M48" s="46"/>
      <c r="N48" s="46"/>
      <c r="O48" s="46"/>
      <c r="P48" s="46"/>
      <c r="Q48" s="46"/>
      <c r="R48" s="46">
        <v>5</v>
      </c>
      <c r="S48" s="47">
        <f t="shared" si="1"/>
        <v>33</v>
      </c>
      <c r="T48" s="55">
        <v>6</v>
      </c>
      <c r="U48" s="46"/>
      <c r="V48" s="46">
        <v>5</v>
      </c>
      <c r="W48" s="46"/>
      <c r="X48" s="46">
        <v>5</v>
      </c>
      <c r="Y48" s="46"/>
      <c r="Z48" s="46"/>
      <c r="AA48" s="46"/>
      <c r="AB48" s="46"/>
      <c r="AC48" s="46">
        <v>8</v>
      </c>
      <c r="AD48" s="46"/>
      <c r="AE48" s="46">
        <v>5</v>
      </c>
      <c r="AF48" s="47">
        <f t="shared" si="2"/>
        <v>29</v>
      </c>
      <c r="AG48" s="55">
        <v>4</v>
      </c>
      <c r="AH48" s="46">
        <v>6</v>
      </c>
      <c r="AI48" s="46">
        <v>4</v>
      </c>
      <c r="AJ48" s="46">
        <v>5</v>
      </c>
      <c r="AK48" s="46">
        <v>1</v>
      </c>
      <c r="AL48" s="46">
        <v>4</v>
      </c>
      <c r="AM48" s="46"/>
      <c r="AN48" s="46"/>
      <c r="AO48" s="46"/>
      <c r="AP48" s="46"/>
      <c r="AQ48" s="46">
        <v>1</v>
      </c>
      <c r="AR48" s="46"/>
      <c r="AS48" s="46"/>
      <c r="AT48" s="46"/>
      <c r="AU48" s="55">
        <v>8</v>
      </c>
      <c r="AV48" s="47">
        <f t="shared" si="3"/>
        <v>33</v>
      </c>
      <c r="AW48" s="46">
        <v>19</v>
      </c>
      <c r="AX48" s="46">
        <v>16</v>
      </c>
      <c r="AY48" s="63">
        <v>34</v>
      </c>
      <c r="AZ48" s="1">
        <v>65</v>
      </c>
    </row>
    <row r="49" spans="1:53" x14ac:dyDescent="0.25">
      <c r="A49" s="67">
        <v>40</v>
      </c>
      <c r="B49" s="1" t="s">
        <v>135</v>
      </c>
      <c r="C49" s="1">
        <v>2</v>
      </c>
      <c r="D49" s="46">
        <v>4</v>
      </c>
      <c r="E49" s="46"/>
      <c r="F49" s="46">
        <v>5</v>
      </c>
      <c r="G49" s="46">
        <v>2</v>
      </c>
      <c r="H49" s="46"/>
      <c r="I49" s="46"/>
      <c r="J49" s="46"/>
      <c r="K49" s="46">
        <v>1</v>
      </c>
      <c r="L49" s="46">
        <v>4</v>
      </c>
      <c r="M49" s="46"/>
      <c r="N49" s="46"/>
      <c r="O49" s="46">
        <v>2</v>
      </c>
      <c r="P49" s="46">
        <v>5</v>
      </c>
      <c r="Q49" s="46"/>
      <c r="R49" s="46"/>
      <c r="S49" s="47">
        <f t="shared" si="1"/>
        <v>25</v>
      </c>
      <c r="T49" s="55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7">
        <f t="shared" si="2"/>
        <v>0</v>
      </c>
      <c r="AG49" s="55">
        <v>1</v>
      </c>
      <c r="AH49" s="46"/>
      <c r="AI49" s="46">
        <v>2</v>
      </c>
      <c r="AJ49" s="46"/>
      <c r="AK49" s="46"/>
      <c r="AL49" s="46"/>
      <c r="AM49" s="46">
        <v>1</v>
      </c>
      <c r="AN49" s="46">
        <v>2</v>
      </c>
      <c r="AO49" s="46"/>
      <c r="AP49" s="46"/>
      <c r="AQ49" s="46"/>
      <c r="AR49" s="46"/>
      <c r="AS49" s="46"/>
      <c r="AT49" s="46"/>
      <c r="AU49" s="55">
        <v>2</v>
      </c>
      <c r="AV49" s="47">
        <f t="shared" si="3"/>
        <v>8</v>
      </c>
      <c r="AW49" s="46">
        <v>7</v>
      </c>
      <c r="AX49" s="46">
        <v>16</v>
      </c>
      <c r="AY49" s="63">
        <v>26</v>
      </c>
      <c r="AZ49" s="1">
        <v>46</v>
      </c>
    </row>
    <row r="50" spans="1:53" x14ac:dyDescent="0.25">
      <c r="A50" s="67">
        <v>41</v>
      </c>
      <c r="B50" s="1" t="s">
        <v>136</v>
      </c>
      <c r="C50" s="1">
        <v>1</v>
      </c>
      <c r="D50" s="46">
        <v>1</v>
      </c>
      <c r="E50" s="46"/>
      <c r="F50" s="46">
        <v>1</v>
      </c>
      <c r="G50" s="46">
        <v>4</v>
      </c>
      <c r="H50" s="46">
        <v>4</v>
      </c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7">
        <f t="shared" si="1"/>
        <v>11</v>
      </c>
      <c r="T50" s="55">
        <v>2</v>
      </c>
      <c r="U50" s="46"/>
      <c r="V50" s="46">
        <v>4</v>
      </c>
      <c r="W50" s="46"/>
      <c r="X50" s="46"/>
      <c r="Y50" s="46">
        <v>1</v>
      </c>
      <c r="Z50" s="46"/>
      <c r="AA50" s="46"/>
      <c r="AB50" s="46"/>
      <c r="AC50" s="46">
        <v>8</v>
      </c>
      <c r="AD50" s="46"/>
      <c r="AE50" s="46">
        <v>8</v>
      </c>
      <c r="AF50" s="47">
        <f t="shared" si="2"/>
        <v>23</v>
      </c>
      <c r="AG50" s="55">
        <v>3</v>
      </c>
      <c r="AH50" s="46">
        <v>1</v>
      </c>
      <c r="AI50" s="46">
        <v>1</v>
      </c>
      <c r="AJ50" s="46"/>
      <c r="AK50" s="46"/>
      <c r="AL50" s="46"/>
      <c r="AM50" s="46"/>
      <c r="AN50" s="46">
        <v>1</v>
      </c>
      <c r="AO50" s="46"/>
      <c r="AP50" s="46"/>
      <c r="AQ50" s="46"/>
      <c r="AR50" s="46"/>
      <c r="AS50" s="46">
        <v>1</v>
      </c>
      <c r="AT50" s="46"/>
      <c r="AU50" s="55"/>
      <c r="AV50" s="47">
        <f t="shared" si="3"/>
        <v>7</v>
      </c>
      <c r="AW50" s="46">
        <v>9</v>
      </c>
      <c r="AX50" s="46">
        <v>11</v>
      </c>
      <c r="AY50" s="46">
        <v>32</v>
      </c>
      <c r="AZ50" s="1">
        <v>44</v>
      </c>
    </row>
    <row r="51" spans="1:53" x14ac:dyDescent="0.25">
      <c r="A51" s="67">
        <v>42</v>
      </c>
      <c r="B51" s="1" t="s">
        <v>137</v>
      </c>
      <c r="C51" s="1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7">
        <f t="shared" si="1"/>
        <v>0</v>
      </c>
      <c r="T51" s="55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7">
        <f t="shared" si="2"/>
        <v>0</v>
      </c>
      <c r="AG51" s="55"/>
      <c r="AH51" s="46"/>
      <c r="AI51" s="46"/>
      <c r="AJ51" s="46"/>
      <c r="AK51" s="46">
        <v>1</v>
      </c>
      <c r="AL51" s="46"/>
      <c r="AM51" s="46"/>
      <c r="AN51" s="46"/>
      <c r="AO51" s="46"/>
      <c r="AP51" s="46"/>
      <c r="AQ51" s="46"/>
      <c r="AR51" s="46"/>
      <c r="AS51" s="46">
        <v>4</v>
      </c>
      <c r="AT51" s="46">
        <v>2</v>
      </c>
      <c r="AU51" s="55"/>
      <c r="AV51" s="47">
        <f t="shared" si="3"/>
        <v>7</v>
      </c>
      <c r="AW51" s="46">
        <v>2</v>
      </c>
      <c r="AX51" s="46">
        <v>14</v>
      </c>
      <c r="AY51" s="63">
        <v>20</v>
      </c>
      <c r="AZ51" s="1">
        <v>0</v>
      </c>
    </row>
    <row r="52" spans="1:53" x14ac:dyDescent="0.25">
      <c r="A52" s="67">
        <v>43</v>
      </c>
      <c r="B52" s="1" t="s">
        <v>138</v>
      </c>
      <c r="C52" s="1">
        <v>4</v>
      </c>
      <c r="D52" s="46">
        <v>4</v>
      </c>
      <c r="E52" s="46">
        <v>2</v>
      </c>
      <c r="F52" s="46">
        <v>5</v>
      </c>
      <c r="G52" s="46">
        <v>6</v>
      </c>
      <c r="H52" s="46">
        <v>4</v>
      </c>
      <c r="I52" s="46"/>
      <c r="J52" s="46"/>
      <c r="K52" s="46">
        <v>5</v>
      </c>
      <c r="L52" s="46">
        <v>5</v>
      </c>
      <c r="M52" s="46"/>
      <c r="N52" s="46"/>
      <c r="O52" s="46"/>
      <c r="P52" s="46"/>
      <c r="Q52" s="46">
        <v>4</v>
      </c>
      <c r="R52" s="46">
        <v>4</v>
      </c>
      <c r="S52" s="47">
        <f t="shared" si="1"/>
        <v>43</v>
      </c>
      <c r="T52" s="55">
        <v>2</v>
      </c>
      <c r="U52" s="46"/>
      <c r="V52" s="46">
        <v>2</v>
      </c>
      <c r="W52" s="46">
        <v>2</v>
      </c>
      <c r="X52" s="46"/>
      <c r="Y52" s="46">
        <v>1</v>
      </c>
      <c r="Z52" s="46"/>
      <c r="AA52" s="46"/>
      <c r="AB52" s="46"/>
      <c r="AC52" s="46">
        <v>5</v>
      </c>
      <c r="AD52" s="46"/>
      <c r="AE52" s="46"/>
      <c r="AF52" s="47">
        <f t="shared" si="2"/>
        <v>12</v>
      </c>
      <c r="AG52" s="55"/>
      <c r="AH52" s="46">
        <v>1</v>
      </c>
      <c r="AI52" s="46">
        <v>4</v>
      </c>
      <c r="AJ52" s="46">
        <v>4</v>
      </c>
      <c r="AK52" s="46"/>
      <c r="AL52" s="46"/>
      <c r="AM52" s="46">
        <v>4</v>
      </c>
      <c r="AN52" s="46">
        <v>5</v>
      </c>
      <c r="AO52" s="46"/>
      <c r="AP52" s="46">
        <v>2</v>
      </c>
      <c r="AQ52" s="46"/>
      <c r="AR52" s="46"/>
      <c r="AS52" s="46">
        <v>5</v>
      </c>
      <c r="AT52" s="46">
        <v>5</v>
      </c>
      <c r="AU52" s="55"/>
      <c r="AV52" s="47">
        <f t="shared" si="3"/>
        <v>30</v>
      </c>
      <c r="AW52" s="46">
        <v>17</v>
      </c>
      <c r="AX52" s="46">
        <v>18</v>
      </c>
      <c r="AY52" s="63">
        <v>44</v>
      </c>
      <c r="AZ52" s="1">
        <v>58</v>
      </c>
    </row>
    <row r="53" spans="1:53" x14ac:dyDescent="0.25">
      <c r="A53" s="67">
        <v>44</v>
      </c>
      <c r="B53" s="1" t="s">
        <v>139</v>
      </c>
      <c r="C53" s="1">
        <v>4</v>
      </c>
      <c r="D53" s="46">
        <v>4</v>
      </c>
      <c r="E53" s="46"/>
      <c r="F53" s="46">
        <v>4</v>
      </c>
      <c r="G53" s="46">
        <v>6</v>
      </c>
      <c r="H53" s="46">
        <v>4</v>
      </c>
      <c r="I53" s="46"/>
      <c r="J53" s="46"/>
      <c r="K53" s="46">
        <v>1</v>
      </c>
      <c r="L53" s="46">
        <v>1</v>
      </c>
      <c r="M53" s="46"/>
      <c r="N53" s="46"/>
      <c r="O53" s="46"/>
      <c r="P53" s="46"/>
      <c r="Q53" s="46"/>
      <c r="R53" s="46">
        <v>4</v>
      </c>
      <c r="S53" s="47">
        <f t="shared" si="1"/>
        <v>28</v>
      </c>
      <c r="T53" s="55"/>
      <c r="U53" s="46">
        <v>4</v>
      </c>
      <c r="V53" s="46"/>
      <c r="W53" s="46">
        <v>3</v>
      </c>
      <c r="X53" s="46">
        <v>2</v>
      </c>
      <c r="Y53" s="46">
        <v>3</v>
      </c>
      <c r="Z53" s="46"/>
      <c r="AA53" s="46"/>
      <c r="AB53" s="46"/>
      <c r="AC53" s="46"/>
      <c r="AD53" s="46">
        <v>8</v>
      </c>
      <c r="AE53" s="46"/>
      <c r="AF53" s="47">
        <f t="shared" si="2"/>
        <v>20</v>
      </c>
      <c r="AG53" s="55"/>
      <c r="AH53" s="46"/>
      <c r="AI53" s="46">
        <v>3</v>
      </c>
      <c r="AJ53" s="46">
        <v>1</v>
      </c>
      <c r="AK53" s="46"/>
      <c r="AL53" s="46"/>
      <c r="AM53" s="46">
        <v>4</v>
      </c>
      <c r="AN53" s="46">
        <v>5</v>
      </c>
      <c r="AO53" s="46"/>
      <c r="AP53" s="46">
        <v>1</v>
      </c>
      <c r="AQ53" s="46"/>
      <c r="AR53" s="46"/>
      <c r="AS53" s="46"/>
      <c r="AT53" s="46"/>
      <c r="AU53" s="55">
        <v>9</v>
      </c>
      <c r="AV53" s="47">
        <f t="shared" si="3"/>
        <v>23</v>
      </c>
      <c r="AW53" s="46">
        <v>15</v>
      </c>
      <c r="AX53" s="46">
        <v>16</v>
      </c>
      <c r="AY53" s="63">
        <v>35</v>
      </c>
      <c r="AZ53" s="1">
        <v>53</v>
      </c>
    </row>
    <row r="54" spans="1:53" x14ac:dyDescent="0.25">
      <c r="A54" s="67">
        <v>45</v>
      </c>
      <c r="B54" s="1" t="s">
        <v>140</v>
      </c>
      <c r="C54" s="1"/>
      <c r="D54" s="46">
        <v>4</v>
      </c>
      <c r="E54" s="46"/>
      <c r="F54" s="46">
        <v>5</v>
      </c>
      <c r="G54" s="46"/>
      <c r="H54" s="46"/>
      <c r="I54" s="46">
        <v>1</v>
      </c>
      <c r="J54" s="46">
        <v>3</v>
      </c>
      <c r="K54" s="46"/>
      <c r="L54" s="46">
        <v>2</v>
      </c>
      <c r="M54" s="46"/>
      <c r="N54" s="46"/>
      <c r="O54" s="46">
        <v>3</v>
      </c>
      <c r="P54" s="46">
        <v>6</v>
      </c>
      <c r="Q54" s="46"/>
      <c r="R54" s="46"/>
      <c r="S54" s="47">
        <f t="shared" si="1"/>
        <v>24</v>
      </c>
      <c r="T54" s="55">
        <v>3</v>
      </c>
      <c r="U54" s="46"/>
      <c r="V54" s="46"/>
      <c r="W54" s="46"/>
      <c r="X54" s="46">
        <v>4</v>
      </c>
      <c r="Y54" s="46">
        <v>5</v>
      </c>
      <c r="Z54" s="46"/>
      <c r="AA54" s="46"/>
      <c r="AB54" s="46"/>
      <c r="AC54" s="46">
        <v>5</v>
      </c>
      <c r="AD54" s="46"/>
      <c r="AE54" s="46"/>
      <c r="AF54" s="47">
        <f t="shared" si="2"/>
        <v>17</v>
      </c>
      <c r="AG54" s="55">
        <v>4</v>
      </c>
      <c r="AH54" s="46"/>
      <c r="AI54" s="46"/>
      <c r="AJ54" s="46"/>
      <c r="AK54" s="46"/>
      <c r="AL54" s="46">
        <v>2</v>
      </c>
      <c r="AM54" s="46"/>
      <c r="AN54" s="46"/>
      <c r="AO54" s="46"/>
      <c r="AP54" s="46"/>
      <c r="AQ54" s="46"/>
      <c r="AR54" s="46"/>
      <c r="AS54" s="46">
        <v>4</v>
      </c>
      <c r="AT54" s="46">
        <v>2</v>
      </c>
      <c r="AU54" s="55"/>
      <c r="AV54" s="47">
        <f t="shared" si="3"/>
        <v>12</v>
      </c>
      <c r="AW54" s="46">
        <v>11</v>
      </c>
      <c r="AX54" s="46">
        <v>16</v>
      </c>
      <c r="AY54" s="63">
        <v>31</v>
      </c>
      <c r="AZ54" s="1">
        <v>27</v>
      </c>
    </row>
    <row r="55" spans="1:53" x14ac:dyDescent="0.25">
      <c r="A55" s="67">
        <v>46</v>
      </c>
      <c r="B55" s="1" t="s">
        <v>141</v>
      </c>
      <c r="C55" s="1">
        <v>5</v>
      </c>
      <c r="D55" s="46">
        <v>4</v>
      </c>
      <c r="E55" s="46"/>
      <c r="F55" s="46">
        <v>5</v>
      </c>
      <c r="G55" s="46">
        <v>5</v>
      </c>
      <c r="H55" s="46">
        <v>4</v>
      </c>
      <c r="I55" s="46"/>
      <c r="J55" s="46"/>
      <c r="K55" s="46">
        <v>3</v>
      </c>
      <c r="L55" s="46">
        <v>2</v>
      </c>
      <c r="M55" s="46"/>
      <c r="N55" s="46"/>
      <c r="O55" s="46">
        <v>4</v>
      </c>
      <c r="P55" s="46">
        <v>1</v>
      </c>
      <c r="Q55" s="46"/>
      <c r="R55" s="46"/>
      <c r="S55" s="47">
        <f t="shared" si="1"/>
        <v>33</v>
      </c>
      <c r="T55" s="55">
        <v>4</v>
      </c>
      <c r="U55" s="46">
        <v>2</v>
      </c>
      <c r="V55" s="46">
        <v>2</v>
      </c>
      <c r="W55" s="46">
        <v>1</v>
      </c>
      <c r="X55" s="46">
        <v>2</v>
      </c>
      <c r="Y55" s="46">
        <v>3</v>
      </c>
      <c r="Z55" s="46"/>
      <c r="AA55" s="46"/>
      <c r="AB55" s="46"/>
      <c r="AC55" s="46">
        <v>1</v>
      </c>
      <c r="AD55" s="46"/>
      <c r="AE55" s="46"/>
      <c r="AF55" s="47">
        <f t="shared" si="2"/>
        <v>15</v>
      </c>
      <c r="AG55" s="55">
        <v>4</v>
      </c>
      <c r="AH55" s="46">
        <v>2</v>
      </c>
      <c r="AI55" s="46"/>
      <c r="AJ55" s="46">
        <v>6</v>
      </c>
      <c r="AK55" s="46">
        <v>5</v>
      </c>
      <c r="AL55" s="46">
        <v>2</v>
      </c>
      <c r="AM55" s="46"/>
      <c r="AN55" s="46"/>
      <c r="AO55" s="46"/>
      <c r="AP55" s="46"/>
      <c r="AQ55" s="46">
        <v>2</v>
      </c>
      <c r="AR55" s="46">
        <v>2</v>
      </c>
      <c r="AS55" s="46">
        <v>2</v>
      </c>
      <c r="AT55" s="46">
        <v>2</v>
      </c>
      <c r="AU55" s="55"/>
      <c r="AV55" s="47">
        <f t="shared" si="3"/>
        <v>27</v>
      </c>
      <c r="AW55" s="46">
        <v>15</v>
      </c>
      <c r="AX55" s="46">
        <v>16</v>
      </c>
      <c r="AY55" s="63">
        <v>45</v>
      </c>
      <c r="AZ55" s="1">
        <v>63</v>
      </c>
    </row>
    <row r="56" spans="1:53" x14ac:dyDescent="0.25">
      <c r="A56" s="67">
        <v>47</v>
      </c>
      <c r="B56" s="1" t="s">
        <v>142</v>
      </c>
      <c r="C56" s="1">
        <v>1</v>
      </c>
      <c r="D56" s="46">
        <v>4</v>
      </c>
      <c r="E56" s="46"/>
      <c r="F56" s="46">
        <v>5</v>
      </c>
      <c r="G56" s="46">
        <v>5</v>
      </c>
      <c r="H56" s="46">
        <v>4</v>
      </c>
      <c r="I56" s="46"/>
      <c r="J56" s="46"/>
      <c r="K56" s="46">
        <v>3</v>
      </c>
      <c r="L56" s="46">
        <v>5</v>
      </c>
      <c r="M56" s="46"/>
      <c r="N56" s="46"/>
      <c r="O56" s="46">
        <v>4</v>
      </c>
      <c r="P56" s="46">
        <v>6</v>
      </c>
      <c r="Q56" s="46"/>
      <c r="R56" s="46"/>
      <c r="S56" s="47">
        <f t="shared" si="1"/>
        <v>37</v>
      </c>
      <c r="T56" s="55">
        <v>6</v>
      </c>
      <c r="U56" s="46"/>
      <c r="V56" s="46">
        <v>6</v>
      </c>
      <c r="W56" s="46">
        <v>2</v>
      </c>
      <c r="X56" s="46"/>
      <c r="Y56" s="46">
        <v>5</v>
      </c>
      <c r="Z56" s="46"/>
      <c r="AA56" s="46"/>
      <c r="AB56" s="46"/>
      <c r="AC56" s="46"/>
      <c r="AD56" s="46"/>
      <c r="AE56" s="46"/>
      <c r="AF56" s="47">
        <f t="shared" si="2"/>
        <v>19</v>
      </c>
      <c r="AG56" s="55">
        <v>3</v>
      </c>
      <c r="AH56" s="46"/>
      <c r="AI56" s="46">
        <v>4</v>
      </c>
      <c r="AJ56" s="46"/>
      <c r="AK56" s="46"/>
      <c r="AL56" s="46"/>
      <c r="AM56" s="46">
        <v>4</v>
      </c>
      <c r="AN56" s="46"/>
      <c r="AO56" s="46"/>
      <c r="AP56" s="46"/>
      <c r="AQ56" s="46"/>
      <c r="AR56" s="46"/>
      <c r="AS56" s="46"/>
      <c r="AT56" s="46"/>
      <c r="AU56" s="55"/>
      <c r="AV56" s="47">
        <f t="shared" si="3"/>
        <v>11</v>
      </c>
      <c r="AW56" s="46">
        <v>14</v>
      </c>
      <c r="AX56" s="46">
        <v>16</v>
      </c>
      <c r="AY56" s="46">
        <v>32</v>
      </c>
      <c r="AZ56" s="1">
        <v>31</v>
      </c>
    </row>
    <row r="57" spans="1:53" x14ac:dyDescent="0.25">
      <c r="A57" s="67">
        <v>48</v>
      </c>
      <c r="B57" s="1" t="s">
        <v>143</v>
      </c>
      <c r="C57" s="1">
        <v>5</v>
      </c>
      <c r="D57" s="46">
        <v>3</v>
      </c>
      <c r="E57" s="46">
        <v>1</v>
      </c>
      <c r="F57" s="46"/>
      <c r="G57" s="46">
        <v>3</v>
      </c>
      <c r="H57" s="46">
        <v>2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7">
        <f t="shared" si="1"/>
        <v>14</v>
      </c>
      <c r="T57" s="55"/>
      <c r="U57" s="46"/>
      <c r="V57" s="46"/>
      <c r="W57" s="46">
        <v>1</v>
      </c>
      <c r="X57" s="46">
        <v>2</v>
      </c>
      <c r="Y57" s="46"/>
      <c r="Z57" s="46"/>
      <c r="AA57" s="46">
        <v>1</v>
      </c>
      <c r="AB57" s="46"/>
      <c r="AC57" s="46"/>
      <c r="AD57" s="46"/>
      <c r="AE57" s="46"/>
      <c r="AF57" s="47">
        <f t="shared" si="2"/>
        <v>4</v>
      </c>
      <c r="AG57" s="55"/>
      <c r="AH57" s="46">
        <v>4</v>
      </c>
      <c r="AI57" s="46"/>
      <c r="AJ57" s="46">
        <v>2</v>
      </c>
      <c r="AK57" s="46">
        <v>3</v>
      </c>
      <c r="AL57" s="46"/>
      <c r="AM57" s="46"/>
      <c r="AN57" s="46">
        <v>1</v>
      </c>
      <c r="AO57" s="46">
        <v>1</v>
      </c>
      <c r="AP57" s="46"/>
      <c r="AQ57" s="46"/>
      <c r="AR57" s="46"/>
      <c r="AS57" s="46"/>
      <c r="AT57" s="46"/>
      <c r="AU57" s="55"/>
      <c r="AV57" s="47">
        <f t="shared" si="3"/>
        <v>11</v>
      </c>
      <c r="AW57" s="46">
        <v>8</v>
      </c>
      <c r="AX57" s="46">
        <v>12</v>
      </c>
      <c r="AY57" s="46">
        <v>20</v>
      </c>
      <c r="AZ57" s="1">
        <v>16</v>
      </c>
    </row>
    <row r="58" spans="1:53" x14ac:dyDescent="0.25">
      <c r="A58" s="67">
        <v>49</v>
      </c>
      <c r="B58" s="1" t="s">
        <v>144</v>
      </c>
      <c r="C58" s="1"/>
      <c r="D58" s="46">
        <v>4</v>
      </c>
      <c r="E58" s="46">
        <v>1</v>
      </c>
      <c r="F58" s="46">
        <v>5</v>
      </c>
      <c r="G58" s="46">
        <v>5</v>
      </c>
      <c r="H58" s="46">
        <v>4</v>
      </c>
      <c r="I58" s="46"/>
      <c r="J58" s="46"/>
      <c r="K58" s="46">
        <v>2</v>
      </c>
      <c r="L58" s="46">
        <v>4</v>
      </c>
      <c r="M58" s="46"/>
      <c r="N58" s="46"/>
      <c r="O58" s="46">
        <v>4</v>
      </c>
      <c r="P58" s="46">
        <v>6</v>
      </c>
      <c r="Q58" s="46"/>
      <c r="R58" s="46"/>
      <c r="S58" s="47">
        <f t="shared" si="1"/>
        <v>35</v>
      </c>
      <c r="T58" s="55"/>
      <c r="U58" s="46"/>
      <c r="V58" s="46">
        <v>6</v>
      </c>
      <c r="W58" s="46"/>
      <c r="X58" s="46"/>
      <c r="Y58" s="46">
        <v>5</v>
      </c>
      <c r="Z58" s="46"/>
      <c r="AA58" s="46"/>
      <c r="AB58" s="46"/>
      <c r="AC58" s="46">
        <v>2</v>
      </c>
      <c r="AD58" s="46"/>
      <c r="AE58" s="46">
        <v>5</v>
      </c>
      <c r="AF58" s="47">
        <f t="shared" si="2"/>
        <v>18</v>
      </c>
      <c r="AG58" s="55">
        <v>1</v>
      </c>
      <c r="AH58" s="46"/>
      <c r="AI58" s="46"/>
      <c r="AJ58" s="46"/>
      <c r="AK58" s="46"/>
      <c r="AL58" s="46"/>
      <c r="AM58" s="46"/>
      <c r="AN58" s="46">
        <v>4</v>
      </c>
      <c r="AO58" s="46"/>
      <c r="AP58" s="46"/>
      <c r="AQ58" s="46"/>
      <c r="AR58" s="46"/>
      <c r="AS58" s="46"/>
      <c r="AT58" s="46"/>
      <c r="AU58" s="55"/>
      <c r="AV58" s="47">
        <f t="shared" si="3"/>
        <v>5</v>
      </c>
      <c r="AW58" s="46">
        <v>12</v>
      </c>
      <c r="AX58" s="46">
        <v>15</v>
      </c>
      <c r="AY58" s="46">
        <v>28</v>
      </c>
      <c r="AZ58" s="1">
        <v>30</v>
      </c>
    </row>
    <row r="59" spans="1:53" x14ac:dyDescent="0.25">
      <c r="A59" s="67">
        <v>50</v>
      </c>
      <c r="B59" s="1" t="s">
        <v>149</v>
      </c>
      <c r="C59" s="1">
        <v>5</v>
      </c>
      <c r="D59" s="64">
        <v>4</v>
      </c>
      <c r="E59" s="65">
        <v>6</v>
      </c>
      <c r="F59" s="65">
        <v>6</v>
      </c>
      <c r="G59" s="65">
        <v>4</v>
      </c>
      <c r="H59" s="65"/>
      <c r="I59" s="65"/>
      <c r="J59" s="65"/>
      <c r="K59" s="65">
        <v>4</v>
      </c>
      <c r="L59" s="65">
        <v>3</v>
      </c>
      <c r="M59" s="65"/>
      <c r="N59" s="65"/>
      <c r="O59" s="65">
        <v>3</v>
      </c>
      <c r="P59" s="65">
        <v>3</v>
      </c>
      <c r="Q59" s="65"/>
      <c r="R59" s="65"/>
      <c r="S59" s="65"/>
      <c r="T59" s="66">
        <v>6</v>
      </c>
      <c r="U59" s="66"/>
      <c r="V59" s="65"/>
      <c r="W59" s="65"/>
      <c r="X59" s="65"/>
      <c r="Y59" s="65"/>
      <c r="Z59" s="65">
        <v>1</v>
      </c>
      <c r="AA59" s="65">
        <v>1</v>
      </c>
      <c r="AB59" s="65">
        <v>2</v>
      </c>
      <c r="AC59" s="65"/>
      <c r="AD59" s="65">
        <v>10</v>
      </c>
      <c r="AE59" s="65"/>
      <c r="AF59" s="65"/>
      <c r="AG59" s="66">
        <v>4</v>
      </c>
      <c r="AH59" s="66">
        <v>6</v>
      </c>
      <c r="AI59" s="65">
        <v>4</v>
      </c>
      <c r="AJ59" s="65"/>
      <c r="AK59" s="65"/>
      <c r="AL59" s="65">
        <v>6</v>
      </c>
      <c r="AM59" s="65"/>
      <c r="AN59" s="65"/>
      <c r="AO59" s="65"/>
      <c r="AP59" s="65"/>
      <c r="AQ59" s="65"/>
      <c r="AR59" s="65"/>
      <c r="AS59" s="65"/>
      <c r="AT59" s="65"/>
      <c r="AU59" s="65">
        <v>10</v>
      </c>
      <c r="AV59" s="66"/>
      <c r="AW59" s="66"/>
      <c r="AX59" s="65">
        <v>16</v>
      </c>
      <c r="AY59" s="65"/>
      <c r="AZ59" s="65">
        <v>58</v>
      </c>
      <c r="BA59" s="1"/>
    </row>
    <row r="60" spans="1:53" x14ac:dyDescent="0.25">
      <c r="A60" s="67">
        <v>51</v>
      </c>
      <c r="B60" s="1" t="s">
        <v>150</v>
      </c>
      <c r="C60" s="1">
        <v>4</v>
      </c>
      <c r="D60" s="46">
        <v>4</v>
      </c>
      <c r="E60" s="46">
        <v>1</v>
      </c>
      <c r="F60" s="46">
        <v>6</v>
      </c>
      <c r="G60" s="46">
        <v>6</v>
      </c>
      <c r="H60" s="46">
        <v>4</v>
      </c>
      <c r="I60" s="1"/>
      <c r="J60" s="1"/>
      <c r="K60" s="46">
        <v>5</v>
      </c>
      <c r="L60" s="46">
        <v>5</v>
      </c>
      <c r="M60" s="1"/>
      <c r="N60" s="1"/>
      <c r="O60" s="1"/>
      <c r="P60" s="1"/>
      <c r="Q60" s="1"/>
      <c r="R60" s="1">
        <v>1</v>
      </c>
      <c r="S60" s="1"/>
      <c r="T60" s="46">
        <v>6</v>
      </c>
      <c r="U60" s="1">
        <v>1</v>
      </c>
      <c r="V60" s="46">
        <v>6</v>
      </c>
      <c r="W60" s="46">
        <v>4</v>
      </c>
      <c r="X60" s="46">
        <v>2</v>
      </c>
      <c r="Y60" s="46">
        <v>4</v>
      </c>
      <c r="Z60" s="1"/>
      <c r="AA60" s="1"/>
      <c r="AB60" s="1"/>
      <c r="AC60" s="1">
        <v>8</v>
      </c>
      <c r="AD60" s="1">
        <v>7</v>
      </c>
      <c r="AE60" s="1"/>
      <c r="AF60" s="1"/>
      <c r="AG60" s="1"/>
      <c r="AH60" s="1"/>
      <c r="AI60" s="1">
        <v>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>
        <v>9</v>
      </c>
      <c r="AV60" s="1"/>
      <c r="AW60" s="1"/>
      <c r="AX60" s="1">
        <v>14</v>
      </c>
      <c r="AY60" s="1"/>
      <c r="AZ60" s="1"/>
    </row>
    <row r="61" spans="1:53" ht="26.45" customHeight="1" x14ac:dyDescent="0.25">
      <c r="A61" s="67">
        <v>52</v>
      </c>
      <c r="B61" s="1" t="s">
        <v>151</v>
      </c>
      <c r="C61" s="1">
        <v>2</v>
      </c>
      <c r="D61" s="46">
        <v>4</v>
      </c>
      <c r="E61" s="1"/>
      <c r="F61" s="46">
        <v>6</v>
      </c>
      <c r="G61" s="46">
        <v>4</v>
      </c>
      <c r="H61" s="46">
        <v>4</v>
      </c>
      <c r="I61" s="1"/>
      <c r="J61" s="1"/>
      <c r="K61" s="46">
        <v>1</v>
      </c>
      <c r="L61" s="46">
        <v>1</v>
      </c>
      <c r="M61" s="1"/>
      <c r="N61" s="1"/>
      <c r="O61" s="46">
        <v>1</v>
      </c>
      <c r="P61" s="46">
        <v>2</v>
      </c>
      <c r="Q61" s="1"/>
      <c r="R61" s="1"/>
      <c r="S61" s="1"/>
      <c r="T61" s="1">
        <v>6</v>
      </c>
      <c r="U61" s="1"/>
      <c r="V61" s="1">
        <v>2</v>
      </c>
      <c r="W61" s="1"/>
      <c r="X61" s="1"/>
      <c r="Y61" s="1">
        <v>3</v>
      </c>
      <c r="Z61" s="1"/>
      <c r="AA61" s="1"/>
      <c r="AB61" s="1"/>
      <c r="AC61" s="1">
        <v>8</v>
      </c>
      <c r="AD61" s="1"/>
      <c r="AE61" s="1"/>
      <c r="AF61" s="1"/>
      <c r="AG61" s="46">
        <v>1</v>
      </c>
      <c r="AH61" s="1">
        <v>2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>
        <v>10</v>
      </c>
      <c r="AV61" s="1"/>
      <c r="AW61" s="1"/>
      <c r="AX61" s="1">
        <v>16</v>
      </c>
      <c r="AY61" s="1"/>
      <c r="AZ61" s="1">
        <v>57</v>
      </c>
    </row>
    <row r="62" spans="1:53" x14ac:dyDescent="0.25">
      <c r="A62" s="67">
        <v>53</v>
      </c>
      <c r="B62" s="1" t="s">
        <v>152</v>
      </c>
      <c r="C62" s="1">
        <v>5</v>
      </c>
      <c r="D62" s="1">
        <v>4</v>
      </c>
      <c r="E62" s="1">
        <v>4</v>
      </c>
      <c r="F62" s="1">
        <v>6</v>
      </c>
      <c r="G62" s="1">
        <v>6</v>
      </c>
      <c r="H62" s="1">
        <v>4</v>
      </c>
      <c r="I62" s="1"/>
      <c r="J62" s="1"/>
      <c r="K62" s="1">
        <v>5</v>
      </c>
      <c r="L62" s="1">
        <v>5</v>
      </c>
      <c r="M62" s="1"/>
      <c r="N62" s="1"/>
      <c r="O62" s="1">
        <v>4</v>
      </c>
      <c r="P62" s="1">
        <v>6</v>
      </c>
      <c r="Q62" s="1"/>
      <c r="R62" s="1"/>
      <c r="S62" s="1"/>
      <c r="T62" s="1">
        <v>6</v>
      </c>
      <c r="U62" s="1">
        <v>4</v>
      </c>
      <c r="V62" s="1">
        <v>4</v>
      </c>
      <c r="W62" s="1">
        <v>3</v>
      </c>
      <c r="X62" s="1">
        <v>5</v>
      </c>
      <c r="Y62" s="1">
        <v>5</v>
      </c>
      <c r="Z62" s="1"/>
      <c r="AA62" s="1"/>
      <c r="AB62" s="1">
        <v>5</v>
      </c>
      <c r="AC62" s="1">
        <v>10</v>
      </c>
      <c r="AD62" s="1">
        <v>10</v>
      </c>
      <c r="AE62" s="1"/>
      <c r="AF62" s="1"/>
      <c r="AG62" s="1">
        <v>4</v>
      </c>
      <c r="AH62" s="1">
        <v>6</v>
      </c>
      <c r="AI62" s="1">
        <v>6</v>
      </c>
      <c r="AJ62" s="1">
        <v>4</v>
      </c>
      <c r="AK62" s="1"/>
      <c r="AL62" s="1"/>
      <c r="AM62" s="1">
        <v>4</v>
      </c>
      <c r="AN62" s="1"/>
      <c r="AO62" s="1"/>
      <c r="AP62" s="1">
        <v>4</v>
      </c>
      <c r="AQ62" s="1"/>
      <c r="AR62" s="1"/>
      <c r="AS62" s="1">
        <v>1</v>
      </c>
      <c r="AT62" s="1"/>
      <c r="AU62" s="1"/>
      <c r="AV62" s="1"/>
      <c r="AW62" s="1"/>
      <c r="AX62" s="1">
        <v>15</v>
      </c>
      <c r="AY62" s="1"/>
      <c r="AZ62" s="1">
        <v>50</v>
      </c>
    </row>
    <row r="63" spans="1:53" x14ac:dyDescent="0.25">
      <c r="A63" s="67">
        <v>54</v>
      </c>
      <c r="B63" s="1" t="s">
        <v>153</v>
      </c>
      <c r="C63" s="1">
        <v>6</v>
      </c>
      <c r="D63" s="1">
        <v>4</v>
      </c>
      <c r="E63" s="1">
        <v>2</v>
      </c>
      <c r="F63" s="1">
        <v>6</v>
      </c>
      <c r="G63" s="1"/>
      <c r="H63" s="1"/>
      <c r="I63" s="1"/>
      <c r="J63" s="1"/>
      <c r="K63" s="1">
        <v>6</v>
      </c>
      <c r="L63" s="1">
        <v>4</v>
      </c>
      <c r="M63" s="1">
        <v>4</v>
      </c>
      <c r="N63" s="1">
        <v>6</v>
      </c>
      <c r="O63" s="1"/>
      <c r="P63" s="1"/>
      <c r="Q63" s="1"/>
      <c r="R63" s="1"/>
      <c r="S63" s="1"/>
      <c r="T63" s="1">
        <v>6</v>
      </c>
      <c r="U63" s="1">
        <v>4</v>
      </c>
      <c r="V63" s="1">
        <v>6</v>
      </c>
      <c r="W63" s="1">
        <v>4</v>
      </c>
      <c r="X63" s="1">
        <v>5</v>
      </c>
      <c r="Y63" s="1">
        <v>3</v>
      </c>
      <c r="Z63" s="1"/>
      <c r="AA63" s="1"/>
      <c r="AB63" s="1">
        <v>4</v>
      </c>
      <c r="AC63" s="1"/>
      <c r="AD63" s="1">
        <v>10</v>
      </c>
      <c r="AE63" s="1"/>
      <c r="AF63" s="1"/>
      <c r="AG63" s="1">
        <v>4</v>
      </c>
      <c r="AH63" s="1">
        <v>6</v>
      </c>
      <c r="AI63" s="1">
        <v>6</v>
      </c>
      <c r="AJ63" s="1">
        <v>4</v>
      </c>
      <c r="AK63" s="1">
        <v>6</v>
      </c>
      <c r="AL63" s="1">
        <v>4</v>
      </c>
      <c r="AM63" s="1"/>
      <c r="AN63" s="1"/>
      <c r="AO63" s="1"/>
      <c r="AP63" s="1">
        <v>2</v>
      </c>
      <c r="AQ63" s="1"/>
      <c r="AR63" s="1"/>
      <c r="AS63" s="1"/>
      <c r="AT63" s="1"/>
      <c r="AU63" s="1">
        <v>10</v>
      </c>
      <c r="AV63" s="1"/>
      <c r="AW63" s="1"/>
      <c r="AX63" s="1">
        <v>16</v>
      </c>
      <c r="AY63" s="1"/>
      <c r="AZ63" s="1"/>
    </row>
    <row r="64" spans="1:53" x14ac:dyDescent="0.25">
      <c r="A64" s="67">
        <v>55</v>
      </c>
      <c r="B64" s="1" t="s">
        <v>154</v>
      </c>
      <c r="C64" s="1">
        <v>5</v>
      </c>
      <c r="D64" s="1">
        <v>4</v>
      </c>
      <c r="E64" s="1">
        <v>2</v>
      </c>
      <c r="F64" s="1">
        <v>6</v>
      </c>
      <c r="G64" s="1">
        <v>6</v>
      </c>
      <c r="H64" s="1">
        <v>4</v>
      </c>
      <c r="I64" s="1"/>
      <c r="J64" s="1"/>
      <c r="K64" s="1">
        <v>6</v>
      </c>
      <c r="L64" s="1">
        <v>4</v>
      </c>
      <c r="M64" s="1"/>
      <c r="N64" s="1"/>
      <c r="O64" s="1">
        <v>4</v>
      </c>
      <c r="P64" s="1">
        <v>2</v>
      </c>
      <c r="Q64" s="1"/>
      <c r="R64" s="1"/>
      <c r="S64" s="1"/>
      <c r="T64" s="1">
        <v>6</v>
      </c>
      <c r="U64" s="1">
        <v>4</v>
      </c>
      <c r="V64" s="1">
        <v>6</v>
      </c>
      <c r="W64" s="1">
        <v>0</v>
      </c>
      <c r="X64" s="1"/>
      <c r="Y64" s="1"/>
      <c r="Z64" s="1">
        <v>2</v>
      </c>
      <c r="AA64" s="1">
        <v>2</v>
      </c>
      <c r="AB64" s="1"/>
      <c r="AC64" s="1"/>
      <c r="AD64" s="1">
        <v>8</v>
      </c>
      <c r="AE64" s="1"/>
      <c r="AF64" s="1"/>
      <c r="AG64" s="1">
        <v>4</v>
      </c>
      <c r="AH64" s="1">
        <v>6</v>
      </c>
      <c r="AI64" s="1"/>
      <c r="AJ64" s="1">
        <v>5</v>
      </c>
      <c r="AK64" s="1">
        <v>6</v>
      </c>
      <c r="AL64" s="1">
        <v>2</v>
      </c>
      <c r="AM64" s="1"/>
      <c r="AN64" s="1"/>
      <c r="AO64" s="1"/>
      <c r="AP64" s="1"/>
      <c r="AQ64" s="1"/>
      <c r="AR64" s="1"/>
      <c r="AS64" s="1"/>
      <c r="AT64" s="1"/>
      <c r="AU64" s="1">
        <v>10</v>
      </c>
      <c r="AV64" s="1"/>
      <c r="AW64" s="1"/>
      <c r="AX64" s="1">
        <v>14</v>
      </c>
      <c r="AY64" s="1"/>
      <c r="AZ64" s="1"/>
    </row>
    <row r="65" spans="1:52" x14ac:dyDescent="0.25">
      <c r="A65" s="67">
        <v>56</v>
      </c>
      <c r="B65" s="1" t="s">
        <v>155</v>
      </c>
      <c r="C65" s="1">
        <v>5</v>
      </c>
      <c r="D65" s="1">
        <v>4</v>
      </c>
      <c r="E65" s="1"/>
      <c r="F65" s="1">
        <v>5</v>
      </c>
      <c r="G65" s="1">
        <v>6</v>
      </c>
      <c r="H65" s="1">
        <v>3</v>
      </c>
      <c r="I65" s="1"/>
      <c r="J65" s="1"/>
      <c r="K65" s="1">
        <v>1</v>
      </c>
      <c r="L65" s="1">
        <v>2</v>
      </c>
      <c r="M65" s="1"/>
      <c r="N65" s="1"/>
      <c r="O65" s="1"/>
      <c r="P65" s="1"/>
      <c r="Q65" s="1">
        <v>6</v>
      </c>
      <c r="R65" s="1"/>
      <c r="S65" s="1"/>
      <c r="T65" s="1">
        <v>3</v>
      </c>
      <c r="U65" s="1">
        <v>2</v>
      </c>
      <c r="V65" s="1"/>
      <c r="W65" s="1">
        <v>1</v>
      </c>
      <c r="X65" s="1"/>
      <c r="Y65" s="1"/>
      <c r="Z65" s="1">
        <v>1</v>
      </c>
      <c r="AA65" s="1">
        <v>1</v>
      </c>
      <c r="AB65" s="1">
        <v>5</v>
      </c>
      <c r="AC65" s="1">
        <v>7</v>
      </c>
      <c r="AD65" s="1">
        <v>1</v>
      </c>
      <c r="AE65" s="1"/>
      <c r="AF65" s="1"/>
      <c r="AG65" s="1">
        <v>4</v>
      </c>
      <c r="AH65" s="1">
        <v>2</v>
      </c>
      <c r="AI65" s="1">
        <v>3</v>
      </c>
      <c r="AJ65" s="1">
        <v>4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>
        <v>14</v>
      </c>
      <c r="AY65" s="1"/>
      <c r="AZ65" s="1">
        <v>71</v>
      </c>
    </row>
    <row r="66" spans="1:52" x14ac:dyDescent="0.25">
      <c r="A66" s="67">
        <v>57</v>
      </c>
      <c r="B66" s="1" t="s">
        <v>156</v>
      </c>
      <c r="C66" s="1">
        <v>2</v>
      </c>
      <c r="D66" s="1">
        <v>4</v>
      </c>
      <c r="E66" s="1">
        <v>3</v>
      </c>
      <c r="F66" s="1">
        <v>4</v>
      </c>
      <c r="G66" s="1">
        <v>6</v>
      </c>
      <c r="H66" s="1">
        <v>4</v>
      </c>
      <c r="I66" s="1"/>
      <c r="J66" s="1"/>
      <c r="K66" s="1">
        <v>5</v>
      </c>
      <c r="L66" s="1">
        <v>5</v>
      </c>
      <c r="M66" s="1"/>
      <c r="N66" s="1"/>
      <c r="O66" s="1">
        <v>6</v>
      </c>
      <c r="P66" s="1">
        <v>3</v>
      </c>
      <c r="Q66" s="1">
        <v>6</v>
      </c>
      <c r="R66" s="1">
        <v>4</v>
      </c>
      <c r="S66" s="1"/>
      <c r="T66" s="1">
        <v>6</v>
      </c>
      <c r="U66" s="1">
        <v>4</v>
      </c>
      <c r="V66" s="1">
        <v>6</v>
      </c>
      <c r="W66" s="1">
        <v>4</v>
      </c>
      <c r="X66" s="1">
        <v>3</v>
      </c>
      <c r="Y66" s="1">
        <v>5</v>
      </c>
      <c r="Z66" s="1"/>
      <c r="AA66" s="1"/>
      <c r="AB66" s="1"/>
      <c r="AC66" s="1">
        <v>10</v>
      </c>
      <c r="AD66" s="1"/>
      <c r="AE66" s="1">
        <v>8</v>
      </c>
      <c r="AF66" s="1"/>
      <c r="AG66" s="1">
        <v>4</v>
      </c>
      <c r="AH66" s="1">
        <v>6</v>
      </c>
      <c r="AI66" s="1">
        <v>6</v>
      </c>
      <c r="AJ66" s="1">
        <v>4</v>
      </c>
      <c r="AK66" s="1"/>
      <c r="AL66" s="1"/>
      <c r="AM66" s="1">
        <v>4</v>
      </c>
      <c r="AN66" s="1">
        <v>4</v>
      </c>
      <c r="AO66" s="1"/>
      <c r="AP66" s="1">
        <v>3</v>
      </c>
      <c r="AQ66" s="1"/>
      <c r="AR66" s="1"/>
      <c r="AS66" s="1"/>
      <c r="AT66" s="1"/>
      <c r="AU66" s="1">
        <v>10</v>
      </c>
      <c r="AV66" s="1"/>
      <c r="AW66" s="1"/>
      <c r="AX66" s="1">
        <v>13</v>
      </c>
      <c r="AY66" s="1"/>
      <c r="AZ66" s="1">
        <v>73</v>
      </c>
    </row>
    <row r="67" spans="1:52" x14ac:dyDescent="0.25">
      <c r="A67" s="67">
        <v>58</v>
      </c>
      <c r="B67" s="1" t="s">
        <v>157</v>
      </c>
      <c r="C67" s="1">
        <v>5</v>
      </c>
      <c r="D67" s="1">
        <v>4</v>
      </c>
      <c r="E67" s="1"/>
      <c r="F67" s="1">
        <v>6</v>
      </c>
      <c r="G67" s="1">
        <v>6</v>
      </c>
      <c r="H67" s="1">
        <v>4</v>
      </c>
      <c r="I67" s="1">
        <v>6</v>
      </c>
      <c r="J67" s="1">
        <v>4</v>
      </c>
      <c r="K67" s="1">
        <v>4</v>
      </c>
      <c r="L67" s="1">
        <v>3</v>
      </c>
      <c r="M67" s="1"/>
      <c r="N67" s="1"/>
      <c r="O67" s="1">
        <v>4</v>
      </c>
      <c r="P67" s="1">
        <v>2</v>
      </c>
      <c r="Q67" s="1"/>
      <c r="R67" s="1"/>
      <c r="S67" s="1"/>
      <c r="T67" s="1">
        <v>6</v>
      </c>
      <c r="U67" s="1">
        <v>4</v>
      </c>
      <c r="V67" s="1">
        <v>6</v>
      </c>
      <c r="W67" s="1">
        <v>2</v>
      </c>
      <c r="X67" s="1">
        <v>2</v>
      </c>
      <c r="Y67" s="1">
        <v>4</v>
      </c>
      <c r="Z67" s="1"/>
      <c r="AA67" s="1"/>
      <c r="AB67" s="1"/>
      <c r="AC67" s="1">
        <v>10</v>
      </c>
      <c r="AD67" s="1">
        <v>10</v>
      </c>
      <c r="AE67" s="1"/>
      <c r="AF67" s="1"/>
      <c r="AG67" s="1">
        <v>4</v>
      </c>
      <c r="AH67" s="1">
        <v>4</v>
      </c>
      <c r="AI67" s="1">
        <v>5</v>
      </c>
      <c r="AJ67" s="1"/>
      <c r="AK67" s="1"/>
      <c r="AL67" s="1"/>
      <c r="AM67" s="1"/>
      <c r="AN67" s="1"/>
      <c r="AO67" s="1"/>
      <c r="AP67" s="1"/>
      <c r="AQ67" s="1"/>
      <c r="AR67" s="1"/>
      <c r="AS67" s="1">
        <v>3</v>
      </c>
      <c r="AT67" s="1"/>
      <c r="AU67" s="1">
        <v>10</v>
      </c>
      <c r="AV67" s="1"/>
      <c r="AW67" s="1"/>
      <c r="AX67" s="1">
        <v>16</v>
      </c>
      <c r="AY67" s="1"/>
      <c r="AZ67" s="1"/>
    </row>
    <row r="68" spans="1:52" x14ac:dyDescent="0.25">
      <c r="A68" s="67">
        <v>59</v>
      </c>
      <c r="B68" s="1" t="s">
        <v>158</v>
      </c>
      <c r="C68" s="1">
        <v>3</v>
      </c>
      <c r="D68" s="1">
        <v>4</v>
      </c>
      <c r="E68" s="1"/>
      <c r="F68" s="1">
        <v>6</v>
      </c>
      <c r="G68" s="1"/>
      <c r="H68" s="1">
        <v>4</v>
      </c>
      <c r="I68" s="1"/>
      <c r="J68" s="1">
        <v>6</v>
      </c>
      <c r="K68" s="1">
        <v>2</v>
      </c>
      <c r="L68" s="1">
        <v>2</v>
      </c>
      <c r="M68" s="1"/>
      <c r="N68" s="1"/>
      <c r="O68" s="1">
        <v>2</v>
      </c>
      <c r="P68" s="1">
        <v>1</v>
      </c>
      <c r="Q68" s="1">
        <v>3</v>
      </c>
      <c r="R68" s="1">
        <v>1</v>
      </c>
      <c r="S68" s="1"/>
      <c r="T68" s="1"/>
      <c r="U68" s="1"/>
      <c r="V68" s="1"/>
      <c r="W68" s="1"/>
      <c r="X68" s="1">
        <v>3</v>
      </c>
      <c r="Y68" s="1">
        <v>4</v>
      </c>
      <c r="Z68" s="1"/>
      <c r="AA68" s="1"/>
      <c r="AB68" s="1"/>
      <c r="AC68" s="1">
        <v>3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>
        <v>5</v>
      </c>
      <c r="AO68" s="1"/>
      <c r="AP68" s="1">
        <v>3</v>
      </c>
      <c r="AQ68" s="1"/>
      <c r="AR68" s="1"/>
      <c r="AS68" s="1"/>
      <c r="AT68" s="1">
        <v>3</v>
      </c>
      <c r="AU68" s="1"/>
      <c r="AV68" s="1"/>
      <c r="AW68" s="1"/>
      <c r="AX68" s="1">
        <v>15</v>
      </c>
      <c r="AY68" s="1"/>
      <c r="AZ68" s="1"/>
    </row>
    <row r="69" spans="1:52" x14ac:dyDescent="0.25">
      <c r="A69" s="67">
        <v>60</v>
      </c>
      <c r="B69" s="1" t="s">
        <v>159</v>
      </c>
      <c r="C69" s="1">
        <v>2</v>
      </c>
      <c r="D69" s="1">
        <v>4</v>
      </c>
      <c r="E69" s="1"/>
      <c r="F69" s="1">
        <v>6</v>
      </c>
      <c r="G69" s="1">
        <v>6</v>
      </c>
      <c r="H69" s="1">
        <v>4</v>
      </c>
      <c r="I69" s="1"/>
      <c r="J69" s="1"/>
      <c r="K69" s="1">
        <v>3</v>
      </c>
      <c r="L69" s="1">
        <v>2</v>
      </c>
      <c r="M69" s="1"/>
      <c r="N69" s="1"/>
      <c r="O69" s="1">
        <v>4</v>
      </c>
      <c r="P69" s="1"/>
      <c r="Q69" s="1">
        <v>4</v>
      </c>
      <c r="R69" s="1">
        <v>3</v>
      </c>
      <c r="S69" s="1"/>
      <c r="T69" s="1">
        <v>6</v>
      </c>
      <c r="U69" s="1">
        <v>3</v>
      </c>
      <c r="V69" s="1"/>
      <c r="W69" s="1"/>
      <c r="X69" s="1"/>
      <c r="Y69" s="1"/>
      <c r="Z69" s="1"/>
      <c r="AA69" s="1"/>
      <c r="AB69" s="1">
        <v>2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>
        <v>15</v>
      </c>
      <c r="AY69" s="1"/>
      <c r="AZ69" s="1">
        <v>55</v>
      </c>
    </row>
    <row r="70" spans="1:52" x14ac:dyDescent="0.25">
      <c r="A70" s="67">
        <v>61</v>
      </c>
      <c r="B70" s="1" t="s">
        <v>160</v>
      </c>
      <c r="C70" s="1">
        <v>6</v>
      </c>
      <c r="D70" s="1">
        <v>4</v>
      </c>
      <c r="E70" s="1">
        <v>1</v>
      </c>
      <c r="F70" s="1">
        <v>6</v>
      </c>
      <c r="G70" s="1">
        <v>6</v>
      </c>
      <c r="H70" s="1">
        <v>4</v>
      </c>
      <c r="I70" s="1"/>
      <c r="J70" s="1"/>
      <c r="K70" s="1">
        <v>4</v>
      </c>
      <c r="L70" s="1"/>
      <c r="M70" s="1"/>
      <c r="N70" s="1"/>
      <c r="O70" s="1"/>
      <c r="P70" s="1">
        <v>3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>
        <v>4</v>
      </c>
      <c r="AH70" s="1">
        <v>5</v>
      </c>
      <c r="AI70" s="1">
        <v>6</v>
      </c>
      <c r="AJ70" s="1">
        <v>4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>
        <v>14</v>
      </c>
      <c r="AY70" s="1"/>
      <c r="AZ70" s="1">
        <v>47</v>
      </c>
    </row>
    <row r="71" spans="1:52" x14ac:dyDescent="0.25">
      <c r="A71" s="67">
        <v>62</v>
      </c>
      <c r="B71" s="1" t="s">
        <v>161</v>
      </c>
      <c r="C71" s="1">
        <v>3</v>
      </c>
      <c r="D71" s="1">
        <v>4</v>
      </c>
      <c r="E71" s="1"/>
      <c r="F71" s="1">
        <v>6</v>
      </c>
      <c r="G71" s="1"/>
      <c r="H71" s="1"/>
      <c r="I71" s="1"/>
      <c r="J71" s="1">
        <v>6</v>
      </c>
      <c r="K71" s="1">
        <v>1</v>
      </c>
      <c r="L71" s="1">
        <v>1</v>
      </c>
      <c r="M71" s="1"/>
      <c r="N71" s="1"/>
      <c r="O71" s="1"/>
      <c r="P71" s="1"/>
      <c r="Q71" s="1">
        <v>2</v>
      </c>
      <c r="R71" s="1"/>
      <c r="S71" s="1"/>
      <c r="T71" s="1">
        <v>2</v>
      </c>
      <c r="U71" s="1">
        <v>1</v>
      </c>
      <c r="V71" s="1">
        <v>1</v>
      </c>
      <c r="W71" s="1">
        <v>4</v>
      </c>
      <c r="X71" s="1">
        <v>2</v>
      </c>
      <c r="Y71" s="1">
        <v>4</v>
      </c>
      <c r="Z71" s="1"/>
      <c r="AA71" s="1"/>
      <c r="AB71" s="1"/>
      <c r="AC71" s="1"/>
      <c r="AD71" s="1">
        <v>1</v>
      </c>
      <c r="AE71" s="1"/>
      <c r="AF71" s="1"/>
      <c r="AG71" s="1">
        <v>4</v>
      </c>
      <c r="AH71" s="1">
        <v>6</v>
      </c>
      <c r="AI71" s="1">
        <v>6</v>
      </c>
      <c r="AJ71" s="1">
        <v>4</v>
      </c>
      <c r="AK71" s="1">
        <v>1</v>
      </c>
      <c r="AL71" s="1"/>
      <c r="AM71" s="1"/>
      <c r="AN71" s="1"/>
      <c r="AO71" s="1"/>
      <c r="AP71" s="1"/>
      <c r="AQ71" s="1"/>
      <c r="AR71" s="1"/>
      <c r="AS71" s="1"/>
      <c r="AT71" s="1"/>
      <c r="AU71" s="1">
        <v>9</v>
      </c>
      <c r="AV71" s="1"/>
      <c r="AW71" s="1"/>
      <c r="AX71" s="1">
        <v>15</v>
      </c>
      <c r="AY71" s="1"/>
      <c r="AZ71" s="1"/>
    </row>
    <row r="72" spans="1:52" x14ac:dyDescent="0.25">
      <c r="A72" s="67">
        <v>63</v>
      </c>
      <c r="B72" s="1" t="s">
        <v>162</v>
      </c>
      <c r="C72" s="1">
        <v>6</v>
      </c>
      <c r="D72" s="1">
        <v>4</v>
      </c>
      <c r="E72" s="1"/>
      <c r="F72" s="1">
        <v>6</v>
      </c>
      <c r="G72" s="1">
        <v>4</v>
      </c>
      <c r="H72" s="1"/>
      <c r="I72" s="1"/>
      <c r="J72" s="1"/>
      <c r="K72" s="1">
        <v>2</v>
      </c>
      <c r="L72" s="1">
        <v>5</v>
      </c>
      <c r="M72" s="1"/>
      <c r="N72" s="1"/>
      <c r="O72" s="1">
        <v>1</v>
      </c>
      <c r="P72" s="1">
        <v>6</v>
      </c>
      <c r="Q72" s="1"/>
      <c r="R72" s="1"/>
      <c r="S72" s="1"/>
      <c r="T72" s="1">
        <v>6</v>
      </c>
      <c r="U72" s="1"/>
      <c r="V72" s="1">
        <v>1</v>
      </c>
      <c r="W72" s="1"/>
      <c r="X72" s="1"/>
      <c r="Y72" s="1"/>
      <c r="Z72" s="1">
        <v>1</v>
      </c>
      <c r="AA72" s="1"/>
      <c r="AB72" s="1"/>
      <c r="AC72" s="1">
        <v>7</v>
      </c>
      <c r="AD72" s="1"/>
      <c r="AE72" s="1"/>
      <c r="AF72" s="1"/>
      <c r="AG72" s="1">
        <v>3</v>
      </c>
      <c r="AH72" s="1">
        <v>1</v>
      </c>
      <c r="AI72" s="1">
        <v>5</v>
      </c>
      <c r="AJ72" s="1">
        <v>4</v>
      </c>
      <c r="AK72" s="1"/>
      <c r="AL72" s="1"/>
      <c r="AM72" s="1"/>
      <c r="AN72" s="1"/>
      <c r="AO72" s="1">
        <v>2</v>
      </c>
      <c r="AP72" s="1">
        <v>3</v>
      </c>
      <c r="AQ72" s="1"/>
      <c r="AR72" s="1"/>
      <c r="AS72" s="1"/>
      <c r="AT72" s="1"/>
      <c r="AU72" s="1"/>
      <c r="AV72" s="1"/>
      <c r="AW72" s="1"/>
      <c r="AX72" s="1">
        <v>14</v>
      </c>
      <c r="AY72" s="1"/>
      <c r="AZ72" s="1">
        <v>76</v>
      </c>
    </row>
    <row r="73" spans="1:52" x14ac:dyDescent="0.25">
      <c r="A73" s="67">
        <v>64</v>
      </c>
      <c r="B73" s="1" t="s">
        <v>163</v>
      </c>
      <c r="C73" s="1">
        <v>4</v>
      </c>
      <c r="D73" s="1">
        <v>4</v>
      </c>
      <c r="E73" s="1"/>
      <c r="F73" s="1">
        <v>6</v>
      </c>
      <c r="G73" s="1">
        <v>6</v>
      </c>
      <c r="H73" s="1">
        <v>4</v>
      </c>
      <c r="I73" s="1"/>
      <c r="J73" s="1"/>
      <c r="K73" s="1">
        <v>4</v>
      </c>
      <c r="L73" s="1">
        <v>2</v>
      </c>
      <c r="M73" s="1"/>
      <c r="N73" s="1"/>
      <c r="O73" s="1"/>
      <c r="P73" s="1"/>
      <c r="Q73" s="1">
        <v>4</v>
      </c>
      <c r="R73" s="1">
        <v>6</v>
      </c>
      <c r="S73" s="1"/>
      <c r="T73" s="1">
        <v>4</v>
      </c>
      <c r="U73" s="1">
        <v>2</v>
      </c>
      <c r="V73" s="1">
        <v>4</v>
      </c>
      <c r="W73" s="1">
        <v>4</v>
      </c>
      <c r="X73" s="1">
        <v>3</v>
      </c>
      <c r="Y73" s="1">
        <v>3</v>
      </c>
      <c r="Z73" s="1"/>
      <c r="AA73" s="1"/>
      <c r="AB73" s="1">
        <v>1</v>
      </c>
      <c r="AC73" s="1">
        <v>10</v>
      </c>
      <c r="AD73" s="1">
        <v>10</v>
      </c>
      <c r="AE73" s="1"/>
      <c r="AF73" s="1"/>
      <c r="AG73" s="1">
        <v>4</v>
      </c>
      <c r="AH73" s="1">
        <v>2</v>
      </c>
      <c r="AI73" s="1">
        <v>2</v>
      </c>
      <c r="AJ73" s="1"/>
      <c r="AK73" s="1"/>
      <c r="AL73" s="1">
        <v>4</v>
      </c>
      <c r="AM73" s="1"/>
      <c r="AN73" s="1"/>
      <c r="AO73" s="1"/>
      <c r="AP73" s="1"/>
      <c r="AQ73" s="1"/>
      <c r="AR73" s="1"/>
      <c r="AS73" s="1"/>
      <c r="AT73" s="1"/>
      <c r="AU73" s="1">
        <v>6</v>
      </c>
      <c r="AV73" s="1"/>
      <c r="AW73" s="1"/>
      <c r="AX73" s="1">
        <v>14</v>
      </c>
      <c r="AY73" s="1"/>
      <c r="AZ73" s="1">
        <v>68</v>
      </c>
    </row>
    <row r="74" spans="1:52" x14ac:dyDescent="0.25">
      <c r="A74" s="67">
        <v>65</v>
      </c>
      <c r="B74" s="1" t="s">
        <v>164</v>
      </c>
      <c r="C74" s="1"/>
      <c r="D74" s="1">
        <v>2</v>
      </c>
      <c r="E74" s="1">
        <v>1</v>
      </c>
      <c r="F74" s="1"/>
      <c r="G74" s="1">
        <v>4</v>
      </c>
      <c r="H74" s="1"/>
      <c r="I74" s="1"/>
      <c r="J74" s="1"/>
      <c r="K74" s="1"/>
      <c r="L74" s="1"/>
      <c r="M74" s="1"/>
      <c r="N74" s="1"/>
      <c r="O74" s="1"/>
      <c r="P74" s="1">
        <v>1</v>
      </c>
      <c r="Q74" s="1"/>
      <c r="R74" s="1"/>
      <c r="S74" s="1"/>
      <c r="T74" s="1">
        <v>6</v>
      </c>
      <c r="U74" s="1">
        <v>3</v>
      </c>
      <c r="V74" s="1">
        <v>1</v>
      </c>
      <c r="W74" s="1"/>
      <c r="X74" s="1"/>
      <c r="Y74" s="1"/>
      <c r="Z74" s="1">
        <v>1</v>
      </c>
      <c r="AA74" s="1">
        <v>3</v>
      </c>
      <c r="AB74" s="1"/>
      <c r="AC74" s="1"/>
      <c r="AD74" s="1">
        <v>1</v>
      </c>
      <c r="AE74" s="1"/>
      <c r="AF74" s="1"/>
      <c r="AG74" s="1">
        <v>4</v>
      </c>
      <c r="AH74" s="1">
        <v>4</v>
      </c>
      <c r="AI74" s="1"/>
      <c r="AJ74" s="1"/>
      <c r="AK74" s="1">
        <v>4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>
        <v>15</v>
      </c>
      <c r="AY74" s="1"/>
      <c r="AZ74" s="1"/>
    </row>
    <row r="75" spans="1:52" x14ac:dyDescent="0.25">
      <c r="A75" s="67">
        <v>66</v>
      </c>
      <c r="B75" s="1" t="s">
        <v>165</v>
      </c>
      <c r="C75" s="1"/>
      <c r="D75" s="1">
        <v>4</v>
      </c>
      <c r="E75" s="1"/>
      <c r="F75" s="1">
        <v>4</v>
      </c>
      <c r="G75" s="1">
        <v>3</v>
      </c>
      <c r="H75" s="1">
        <v>4</v>
      </c>
      <c r="I75" s="1"/>
      <c r="J75" s="1">
        <v>6</v>
      </c>
      <c r="K75" s="1"/>
      <c r="L75" s="1">
        <v>5</v>
      </c>
      <c r="M75" s="1"/>
      <c r="N75" s="1"/>
      <c r="O75" s="1"/>
      <c r="P75" s="1">
        <v>6</v>
      </c>
      <c r="Q75" s="1">
        <v>4</v>
      </c>
      <c r="R75" s="1">
        <v>6</v>
      </c>
      <c r="S75" s="1">
        <v>4</v>
      </c>
      <c r="T75" s="1">
        <v>1</v>
      </c>
      <c r="U75" s="1">
        <v>5</v>
      </c>
      <c r="V75" s="1">
        <v>2</v>
      </c>
      <c r="W75" s="1">
        <v>1</v>
      </c>
      <c r="X75" s="1">
        <v>4</v>
      </c>
      <c r="Y75" s="1"/>
      <c r="Z75" s="1"/>
      <c r="AA75" s="1"/>
      <c r="AB75" s="1"/>
      <c r="AC75" s="1">
        <v>10</v>
      </c>
      <c r="AD75" s="1">
        <v>9</v>
      </c>
      <c r="AE75" s="1"/>
      <c r="AF75" s="1"/>
      <c r="AG75" s="1">
        <v>5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>
        <v>3</v>
      </c>
      <c r="AT75" s="1">
        <v>2</v>
      </c>
      <c r="AU75" s="1"/>
      <c r="AV75" s="1"/>
      <c r="AW75" s="1"/>
      <c r="AX75" s="1">
        <v>13</v>
      </c>
      <c r="AY75" s="1"/>
      <c r="AZ75" s="1">
        <v>48</v>
      </c>
    </row>
    <row r="76" spans="1:52" x14ac:dyDescent="0.25">
      <c r="A76" s="67">
        <v>67</v>
      </c>
      <c r="B76" s="1" t="s">
        <v>166</v>
      </c>
      <c r="C76" s="1">
        <v>4</v>
      </c>
      <c r="D76" s="1">
        <v>4</v>
      </c>
      <c r="E76" s="1">
        <v>0</v>
      </c>
      <c r="F76" s="1">
        <v>2</v>
      </c>
      <c r="G76" s="1">
        <v>6</v>
      </c>
      <c r="H76" s="1">
        <v>4</v>
      </c>
      <c r="I76" s="1"/>
      <c r="J76" s="1">
        <v>6</v>
      </c>
      <c r="K76" s="1"/>
      <c r="L76" s="1"/>
      <c r="M76" s="1"/>
      <c r="N76" s="1"/>
      <c r="O76" s="1"/>
      <c r="P76" s="1"/>
      <c r="Q76" s="1"/>
      <c r="R76" s="1"/>
      <c r="S76" s="1"/>
      <c r="T76" s="1">
        <v>6</v>
      </c>
      <c r="U76" s="1">
        <v>0</v>
      </c>
      <c r="V76" s="1">
        <v>6</v>
      </c>
      <c r="W76" s="1">
        <v>2</v>
      </c>
      <c r="X76" s="1">
        <v>2</v>
      </c>
      <c r="Y76" s="1">
        <v>2</v>
      </c>
      <c r="Z76" s="1"/>
      <c r="AA76" s="1"/>
      <c r="AB76" s="1"/>
      <c r="AC76" s="1">
        <v>7</v>
      </c>
      <c r="AD76" s="1">
        <v>10</v>
      </c>
      <c r="AE76" s="1"/>
      <c r="AF76" s="1"/>
      <c r="AG76" s="1"/>
      <c r="AH76" s="1">
        <v>2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>
        <v>9</v>
      </c>
      <c r="AV76" s="1"/>
      <c r="AW76" s="1"/>
      <c r="AX76" s="1">
        <v>15</v>
      </c>
      <c r="AY76" s="1"/>
      <c r="AZ76" s="1">
        <v>45</v>
      </c>
    </row>
    <row r="77" spans="1:52" x14ac:dyDescent="0.25">
      <c r="A77" s="67">
        <v>68</v>
      </c>
      <c r="B77" s="1" t="s">
        <v>167</v>
      </c>
      <c r="C77" s="1">
        <v>4</v>
      </c>
      <c r="D77" s="1">
        <v>4</v>
      </c>
      <c r="E77" s="1"/>
      <c r="F77" s="1">
        <v>6</v>
      </c>
      <c r="G77" s="1">
        <v>5</v>
      </c>
      <c r="H77" s="1">
        <v>4</v>
      </c>
      <c r="I77" s="1"/>
      <c r="J77" s="1"/>
      <c r="K77" s="1">
        <v>4</v>
      </c>
      <c r="L77" s="1"/>
      <c r="M77" s="1"/>
      <c r="N77" s="1"/>
      <c r="O77" s="1">
        <v>4</v>
      </c>
      <c r="P77" s="1">
        <v>1</v>
      </c>
      <c r="Q77" s="1"/>
      <c r="R77" s="1"/>
      <c r="S77" s="1"/>
      <c r="T77" s="1">
        <v>6</v>
      </c>
      <c r="U77" s="1">
        <v>4</v>
      </c>
      <c r="V77" s="1">
        <v>2</v>
      </c>
      <c r="W77" s="1">
        <v>1</v>
      </c>
      <c r="X77" s="1">
        <v>4</v>
      </c>
      <c r="Y77" s="1"/>
      <c r="Z77" s="1"/>
      <c r="AA77" s="1"/>
      <c r="AB77" s="1"/>
      <c r="AC77" s="1">
        <v>10</v>
      </c>
      <c r="AD77" s="1">
        <v>10</v>
      </c>
      <c r="AE77" s="1"/>
      <c r="AF77" s="1"/>
      <c r="AG77" s="1"/>
      <c r="AH77" s="1"/>
      <c r="AI77" s="1"/>
      <c r="AJ77" s="1">
        <v>1</v>
      </c>
      <c r="AK77" s="1"/>
      <c r="AL77" s="1"/>
      <c r="AM77" s="1"/>
      <c r="AN77" s="1">
        <v>5</v>
      </c>
      <c r="AO77" s="1"/>
      <c r="AP77" s="1"/>
      <c r="AQ77" s="1"/>
      <c r="AR77" s="1"/>
      <c r="AS77" s="1"/>
      <c r="AT77" s="1"/>
      <c r="AU77" s="1">
        <v>10</v>
      </c>
      <c r="AV77" s="1"/>
      <c r="AW77" s="1"/>
      <c r="AX77" s="1">
        <v>16</v>
      </c>
      <c r="AY77" s="1"/>
      <c r="AZ77" s="1" t="s">
        <v>200</v>
      </c>
    </row>
    <row r="78" spans="1:52" x14ac:dyDescent="0.25">
      <c r="A78" s="67">
        <v>69</v>
      </c>
      <c r="B78" s="1" t="s">
        <v>168</v>
      </c>
      <c r="C78" s="1">
        <v>2</v>
      </c>
      <c r="D78" s="1">
        <v>4</v>
      </c>
      <c r="E78" s="1"/>
      <c r="F78" s="1">
        <v>6</v>
      </c>
      <c r="G78" s="1">
        <v>6</v>
      </c>
      <c r="H78" s="1">
        <v>4</v>
      </c>
      <c r="I78" s="1">
        <v>4</v>
      </c>
      <c r="J78" s="1">
        <v>6</v>
      </c>
      <c r="K78" s="1">
        <v>3</v>
      </c>
      <c r="L78" s="1">
        <v>5</v>
      </c>
      <c r="M78" s="1"/>
      <c r="N78" s="1"/>
      <c r="O78" s="1"/>
      <c r="P78" s="1"/>
      <c r="Q78" s="1">
        <v>4</v>
      </c>
      <c r="R78" s="1">
        <v>6</v>
      </c>
      <c r="S78" s="1"/>
      <c r="T78" s="1">
        <v>4</v>
      </c>
      <c r="U78" s="1">
        <v>6</v>
      </c>
      <c r="V78" s="1">
        <v>5</v>
      </c>
      <c r="W78" s="1">
        <v>5</v>
      </c>
      <c r="X78" s="1">
        <v>1</v>
      </c>
      <c r="Y78" s="1">
        <v>4</v>
      </c>
      <c r="Z78" s="1"/>
      <c r="AA78" s="1"/>
      <c r="AB78" s="1"/>
      <c r="AC78" s="1">
        <v>10</v>
      </c>
      <c r="AD78" s="1">
        <v>6</v>
      </c>
      <c r="AE78" s="1">
        <v>10</v>
      </c>
      <c r="AF78" s="1"/>
      <c r="AG78" s="1">
        <v>4</v>
      </c>
      <c r="AH78" s="1">
        <v>6</v>
      </c>
      <c r="AI78" s="1">
        <v>5</v>
      </c>
      <c r="AJ78" s="1">
        <v>4</v>
      </c>
      <c r="AK78" s="1">
        <v>1</v>
      </c>
      <c r="AL78" s="1">
        <v>1</v>
      </c>
      <c r="AM78" s="1"/>
      <c r="AN78" s="1"/>
      <c r="AO78" s="1"/>
      <c r="AP78" s="1"/>
      <c r="AQ78" s="1"/>
      <c r="AR78" s="1"/>
      <c r="AS78" s="1"/>
      <c r="AT78" s="1"/>
      <c r="AU78" s="1">
        <v>10</v>
      </c>
      <c r="AV78" s="1"/>
      <c r="AW78" s="1"/>
      <c r="AX78" s="1">
        <v>15</v>
      </c>
      <c r="AY78" s="1"/>
      <c r="AZ78" s="1">
        <v>46</v>
      </c>
    </row>
    <row r="79" spans="1:52" x14ac:dyDescent="0.25">
      <c r="A79" s="67">
        <v>70</v>
      </c>
      <c r="B79" s="1" t="s">
        <v>169</v>
      </c>
      <c r="C79" s="1">
        <v>6</v>
      </c>
      <c r="D79" s="1">
        <v>4</v>
      </c>
      <c r="E79" s="1">
        <v>1</v>
      </c>
      <c r="F79" s="1">
        <v>5</v>
      </c>
      <c r="G79" s="1">
        <v>4</v>
      </c>
      <c r="H79" s="1">
        <v>6</v>
      </c>
      <c r="I79" s="1"/>
      <c r="J79" s="1"/>
      <c r="K79" s="1">
        <v>4</v>
      </c>
      <c r="L79" s="1">
        <v>5</v>
      </c>
      <c r="M79" s="1"/>
      <c r="N79" s="1"/>
      <c r="O79" s="1">
        <v>3</v>
      </c>
      <c r="P79" s="1">
        <v>6</v>
      </c>
      <c r="Q79" s="1">
        <v>6</v>
      </c>
      <c r="R79" s="1">
        <v>2</v>
      </c>
      <c r="S79" s="1"/>
      <c r="T79" s="1">
        <v>6</v>
      </c>
      <c r="U79" s="1">
        <v>4</v>
      </c>
      <c r="V79" s="1">
        <v>6</v>
      </c>
      <c r="W79" s="1">
        <v>3</v>
      </c>
      <c r="X79" s="1">
        <v>5</v>
      </c>
      <c r="Y79" s="1">
        <v>4</v>
      </c>
      <c r="Z79" s="1"/>
      <c r="AA79" s="1"/>
      <c r="AB79" s="1">
        <v>10</v>
      </c>
      <c r="AC79" s="1">
        <v>10</v>
      </c>
      <c r="AD79" s="1">
        <v>10</v>
      </c>
      <c r="AE79" s="1"/>
      <c r="AF79" s="1"/>
      <c r="AG79" s="1">
        <v>4</v>
      </c>
      <c r="AH79" s="1">
        <v>6</v>
      </c>
      <c r="AI79" s="1">
        <v>6</v>
      </c>
      <c r="AJ79" s="1">
        <v>4</v>
      </c>
      <c r="AK79" s="1">
        <v>5</v>
      </c>
      <c r="AL79" s="1">
        <v>2</v>
      </c>
      <c r="AM79" s="1"/>
      <c r="AN79" s="1"/>
      <c r="AO79" s="1"/>
      <c r="AP79" s="1">
        <v>5</v>
      </c>
      <c r="AQ79" s="1"/>
      <c r="AR79" s="1"/>
      <c r="AS79" s="1"/>
      <c r="AT79" s="1"/>
      <c r="AU79" s="1">
        <v>10</v>
      </c>
      <c r="AV79" s="1"/>
      <c r="AW79" s="1"/>
      <c r="AX79" s="1">
        <v>14</v>
      </c>
      <c r="AY79" s="1"/>
      <c r="AZ79" s="1">
        <v>52</v>
      </c>
    </row>
    <row r="80" spans="1:52" x14ac:dyDescent="0.25">
      <c r="A80" s="67">
        <v>71</v>
      </c>
      <c r="B80" s="1" t="s">
        <v>170</v>
      </c>
      <c r="C80" s="1">
        <v>4</v>
      </c>
      <c r="D80" s="1">
        <v>4</v>
      </c>
      <c r="E80" s="1">
        <v>4</v>
      </c>
      <c r="F80" s="1">
        <v>4</v>
      </c>
      <c r="G80" s="1">
        <v>6</v>
      </c>
      <c r="H80" s="1">
        <v>4</v>
      </c>
      <c r="I80" s="1">
        <v>4</v>
      </c>
      <c r="J80" s="1">
        <v>4</v>
      </c>
      <c r="K80" s="1"/>
      <c r="L80" s="1"/>
      <c r="M80" s="1"/>
      <c r="N80" s="1"/>
      <c r="O80" s="1">
        <v>4</v>
      </c>
      <c r="P80" s="1">
        <v>5</v>
      </c>
      <c r="Q80" s="1"/>
      <c r="R80" s="1"/>
      <c r="S80" s="1"/>
      <c r="T80" s="1">
        <v>6</v>
      </c>
      <c r="U80" s="1">
        <v>2</v>
      </c>
      <c r="V80" s="1">
        <v>6</v>
      </c>
      <c r="W80" s="1">
        <v>4</v>
      </c>
      <c r="X80" s="1">
        <v>4</v>
      </c>
      <c r="Y80" s="1">
        <v>2</v>
      </c>
      <c r="Z80" s="1"/>
      <c r="AA80" s="1"/>
      <c r="AB80" s="1"/>
      <c r="AC80" s="1">
        <v>10</v>
      </c>
      <c r="AD80" s="1">
        <v>2</v>
      </c>
      <c r="AE80" s="1"/>
      <c r="AF80" s="1"/>
      <c r="AG80" s="1">
        <v>2</v>
      </c>
      <c r="AH80" s="1">
        <v>6</v>
      </c>
      <c r="AI80" s="1">
        <v>5</v>
      </c>
      <c r="AJ80" s="1">
        <v>5</v>
      </c>
      <c r="AK80" s="1">
        <v>1</v>
      </c>
      <c r="AL80" s="1">
        <v>4</v>
      </c>
      <c r="AM80" s="1"/>
      <c r="AN80" s="1">
        <v>5</v>
      </c>
      <c r="AO80" s="1"/>
      <c r="AP80" s="1">
        <v>5</v>
      </c>
      <c r="AQ80" s="1"/>
      <c r="AR80" s="1"/>
      <c r="AS80" s="1"/>
      <c r="AT80" s="1"/>
      <c r="AU80" s="1">
        <v>10</v>
      </c>
      <c r="AV80" s="1"/>
      <c r="AW80" s="1"/>
      <c r="AX80" s="1">
        <v>14</v>
      </c>
      <c r="AY80" s="1"/>
      <c r="AZ80" s="1">
        <v>54</v>
      </c>
    </row>
    <row r="81" spans="1:52" x14ac:dyDescent="0.25">
      <c r="A81" s="67">
        <v>72</v>
      </c>
      <c r="B81" s="1" t="s">
        <v>171</v>
      </c>
      <c r="C81" s="1">
        <v>2</v>
      </c>
      <c r="D81" s="1">
        <v>4</v>
      </c>
      <c r="E81" s="1"/>
      <c r="F81" s="1">
        <v>5</v>
      </c>
      <c r="G81" s="1"/>
      <c r="H81" s="1"/>
      <c r="I81" s="1">
        <v>4</v>
      </c>
      <c r="J81" s="1">
        <v>6</v>
      </c>
      <c r="K81" s="1">
        <v>3</v>
      </c>
      <c r="L81" s="1">
        <v>1</v>
      </c>
      <c r="M81" s="1"/>
      <c r="N81" s="1"/>
      <c r="O81" s="1"/>
      <c r="P81" s="1"/>
      <c r="Q81" s="1">
        <v>6</v>
      </c>
      <c r="R81" s="1"/>
      <c r="S81" s="1"/>
      <c r="T81" s="1">
        <v>5</v>
      </c>
      <c r="U81" s="1"/>
      <c r="V81" s="1">
        <v>4</v>
      </c>
      <c r="W81" s="1"/>
      <c r="X81" s="1">
        <v>3</v>
      </c>
      <c r="Y81" s="1">
        <v>4</v>
      </c>
      <c r="Z81" s="1"/>
      <c r="AA81" s="1"/>
      <c r="AB81" s="1"/>
      <c r="AC81" s="1">
        <v>6</v>
      </c>
      <c r="AD81" s="1"/>
      <c r="AE81" s="1">
        <v>1</v>
      </c>
      <c r="AF81" s="1"/>
      <c r="AG81" s="1">
        <v>4</v>
      </c>
      <c r="AH81" s="1">
        <v>6</v>
      </c>
      <c r="AI81" s="1">
        <v>1</v>
      </c>
      <c r="AJ81" s="1"/>
      <c r="AK81" s="1"/>
      <c r="AL81" s="1"/>
      <c r="AM81" s="1"/>
      <c r="AN81" s="1"/>
      <c r="AO81" s="1">
        <v>2</v>
      </c>
      <c r="AP81" s="1">
        <v>5</v>
      </c>
      <c r="AQ81" s="1"/>
      <c r="AR81" s="1"/>
      <c r="AS81" s="1"/>
      <c r="AT81" s="1"/>
      <c r="AU81" s="1">
        <v>7</v>
      </c>
      <c r="AV81" s="1"/>
      <c r="AW81" s="1"/>
      <c r="AX81" s="1">
        <v>14</v>
      </c>
      <c r="AY81" s="1"/>
      <c r="AZ81" s="1">
        <v>33</v>
      </c>
    </row>
    <row r="82" spans="1:52" x14ac:dyDescent="0.25">
      <c r="A82" s="67">
        <v>73</v>
      </c>
      <c r="B82" s="1" t="s">
        <v>172</v>
      </c>
      <c r="C82" s="1">
        <v>6</v>
      </c>
      <c r="D82" s="1">
        <v>4</v>
      </c>
      <c r="E82" s="1">
        <v>2</v>
      </c>
      <c r="F82" s="1">
        <v>6</v>
      </c>
      <c r="G82" s="1">
        <v>6</v>
      </c>
      <c r="H82" s="1">
        <v>4</v>
      </c>
      <c r="I82" s="1"/>
      <c r="J82" s="1"/>
      <c r="K82" s="1">
        <v>5</v>
      </c>
      <c r="L82" s="1">
        <v>4</v>
      </c>
      <c r="M82" s="1"/>
      <c r="N82" s="1"/>
      <c r="O82" s="1"/>
      <c r="P82" s="1"/>
      <c r="Q82" s="1">
        <v>4</v>
      </c>
      <c r="R82" s="1">
        <v>6</v>
      </c>
      <c r="S82" s="1"/>
      <c r="T82" s="1">
        <v>6</v>
      </c>
      <c r="U82" s="1">
        <v>4</v>
      </c>
      <c r="V82" s="1">
        <v>4</v>
      </c>
      <c r="W82" s="1">
        <v>4</v>
      </c>
      <c r="X82" s="1">
        <v>6</v>
      </c>
      <c r="Y82" s="1">
        <v>4</v>
      </c>
      <c r="Z82" s="1"/>
      <c r="AA82" s="1"/>
      <c r="AB82" s="1"/>
      <c r="AC82" s="1">
        <v>9</v>
      </c>
      <c r="AD82" s="1">
        <v>7</v>
      </c>
      <c r="AE82" s="1"/>
      <c r="AF82" s="1"/>
      <c r="AG82" s="1">
        <v>4</v>
      </c>
      <c r="AH82" s="1">
        <v>6</v>
      </c>
      <c r="AI82" s="1">
        <v>6</v>
      </c>
      <c r="AJ82" s="1">
        <v>4</v>
      </c>
      <c r="AK82" s="1">
        <v>6</v>
      </c>
      <c r="AL82" s="1">
        <v>4</v>
      </c>
      <c r="AM82" s="1"/>
      <c r="AN82" s="1"/>
      <c r="AO82" s="1"/>
      <c r="AP82" s="1">
        <v>5</v>
      </c>
      <c r="AQ82" s="1">
        <v>3</v>
      </c>
      <c r="AR82" s="1">
        <v>5</v>
      </c>
      <c r="AS82" s="1"/>
      <c r="AT82" s="1"/>
      <c r="AU82" s="1">
        <v>10</v>
      </c>
      <c r="AV82" s="1"/>
      <c r="AW82" s="1"/>
      <c r="AX82" s="1">
        <v>14</v>
      </c>
      <c r="AY82" s="1"/>
      <c r="AZ82" s="1">
        <v>47</v>
      </c>
    </row>
    <row r="83" spans="1:52" x14ac:dyDescent="0.25">
      <c r="A83" s="67">
        <v>74</v>
      </c>
      <c r="B83" s="1" t="s">
        <v>173</v>
      </c>
      <c r="C83" s="1">
        <v>3</v>
      </c>
      <c r="D83" s="1"/>
      <c r="E83" s="1"/>
      <c r="F83" s="1"/>
      <c r="G83" s="1"/>
      <c r="H83" s="1"/>
      <c r="I83" s="1"/>
      <c r="J83" s="1"/>
      <c r="K83" s="1">
        <v>4</v>
      </c>
      <c r="L83" s="1">
        <v>1</v>
      </c>
      <c r="M83" s="1"/>
      <c r="N83" s="1"/>
      <c r="O83" s="1"/>
      <c r="P83" s="1"/>
      <c r="Q83" s="1"/>
      <c r="R83" s="1"/>
      <c r="S83" s="1"/>
      <c r="T83" s="1">
        <v>4</v>
      </c>
      <c r="U83" s="1">
        <v>6</v>
      </c>
      <c r="V83" s="1">
        <v>4</v>
      </c>
      <c r="W83" s="1">
        <v>1</v>
      </c>
      <c r="X83" s="1">
        <v>6</v>
      </c>
      <c r="Y83" s="1">
        <v>2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>
        <v>14</v>
      </c>
      <c r="AY83" s="1"/>
      <c r="AZ83" s="1">
        <v>48</v>
      </c>
    </row>
    <row r="84" spans="1:52" x14ac:dyDescent="0.25">
      <c r="A84" s="67">
        <v>75</v>
      </c>
      <c r="B84" s="1" t="s">
        <v>174</v>
      </c>
      <c r="C84" s="1">
        <v>2</v>
      </c>
      <c r="D84" s="1">
        <v>0</v>
      </c>
      <c r="E84" s="1">
        <v>0</v>
      </c>
      <c r="F84" s="1">
        <v>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>
        <v>5</v>
      </c>
      <c r="AA84" s="1">
        <v>4</v>
      </c>
      <c r="AB84" s="1">
        <v>10</v>
      </c>
      <c r="AC84" s="1"/>
      <c r="AD84" s="1"/>
      <c r="AE84" s="1">
        <v>10</v>
      </c>
      <c r="AF84" s="1"/>
      <c r="AG84" s="1">
        <v>4</v>
      </c>
      <c r="AH84" s="1">
        <v>4</v>
      </c>
      <c r="AI84" s="1">
        <v>6</v>
      </c>
      <c r="AJ84" s="1">
        <v>4</v>
      </c>
      <c r="AK84" s="1"/>
      <c r="AL84" s="1"/>
      <c r="AM84" s="1">
        <v>5</v>
      </c>
      <c r="AN84" s="1">
        <v>5</v>
      </c>
      <c r="AO84" s="1"/>
      <c r="AP84" s="1"/>
      <c r="AQ84" s="1"/>
      <c r="AR84" s="1"/>
      <c r="AS84" s="1"/>
      <c r="AT84" s="1"/>
      <c r="AU84" s="1"/>
      <c r="AV84" s="1"/>
      <c r="AW84" s="1"/>
      <c r="AX84" s="1">
        <v>16</v>
      </c>
      <c r="AY84" s="1"/>
      <c r="AZ84" s="1">
        <v>52</v>
      </c>
    </row>
    <row r="85" spans="1:52" x14ac:dyDescent="0.25">
      <c r="A85" s="67">
        <v>76</v>
      </c>
      <c r="B85" s="1" t="s">
        <v>175</v>
      </c>
      <c r="C85" s="1">
        <v>4</v>
      </c>
      <c r="D85" s="1">
        <v>4</v>
      </c>
      <c r="E85" s="1"/>
      <c r="F85" s="1">
        <v>6</v>
      </c>
      <c r="G85" s="1"/>
      <c r="H85" s="1"/>
      <c r="I85" s="1"/>
      <c r="J85" s="1">
        <v>6</v>
      </c>
      <c r="K85" s="1">
        <v>3</v>
      </c>
      <c r="L85" s="1">
        <v>5</v>
      </c>
      <c r="M85" s="1"/>
      <c r="N85" s="1"/>
      <c r="O85" s="1"/>
      <c r="P85" s="1"/>
      <c r="Q85" s="1">
        <v>4</v>
      </c>
      <c r="R85" s="1">
        <v>6</v>
      </c>
      <c r="S85" s="1"/>
      <c r="T85" s="1">
        <v>6</v>
      </c>
      <c r="U85" s="1">
        <v>2</v>
      </c>
      <c r="V85" s="1">
        <v>2</v>
      </c>
      <c r="W85" s="1">
        <v>6</v>
      </c>
      <c r="X85" s="1">
        <v>3</v>
      </c>
      <c r="Y85" s="1"/>
      <c r="Z85" s="1"/>
      <c r="AA85" s="1"/>
      <c r="AB85" s="1"/>
      <c r="AC85" s="1">
        <v>10</v>
      </c>
      <c r="AD85" s="1"/>
      <c r="AE85" s="1">
        <v>3</v>
      </c>
      <c r="AF85" s="1"/>
      <c r="AG85" s="1">
        <v>4</v>
      </c>
      <c r="AH85" s="1">
        <v>3</v>
      </c>
      <c r="AI85" s="1">
        <v>5</v>
      </c>
      <c r="AJ85" s="1">
        <v>4</v>
      </c>
      <c r="AK85" s="1">
        <v>1</v>
      </c>
      <c r="AL85" s="1">
        <v>1</v>
      </c>
      <c r="AM85" s="1"/>
      <c r="AN85" s="1"/>
      <c r="AO85" s="1"/>
      <c r="AP85" s="1"/>
      <c r="AQ85" s="1">
        <v>4</v>
      </c>
      <c r="AR85" s="1">
        <v>1</v>
      </c>
      <c r="AS85" s="1"/>
      <c r="AT85" s="1"/>
      <c r="AU85" s="1"/>
      <c r="AV85" s="1"/>
      <c r="AW85" s="1"/>
      <c r="AX85" s="1">
        <v>16</v>
      </c>
      <c r="AY85" s="1"/>
      <c r="AZ85" s="1">
        <v>69</v>
      </c>
    </row>
    <row r="86" spans="1:52" x14ac:dyDescent="0.25">
      <c r="A86" s="67">
        <v>77</v>
      </c>
      <c r="B86" s="1" t="s">
        <v>176</v>
      </c>
      <c r="C86" s="1">
        <v>5</v>
      </c>
      <c r="D86" s="1">
        <v>4</v>
      </c>
      <c r="E86" s="1">
        <v>6</v>
      </c>
      <c r="F86" s="1">
        <v>3</v>
      </c>
      <c r="G86" s="1">
        <v>4</v>
      </c>
      <c r="H86" s="1">
        <v>6</v>
      </c>
      <c r="I86" s="1"/>
      <c r="J86" s="1"/>
      <c r="K86" s="1">
        <v>4</v>
      </c>
      <c r="L86" s="1">
        <v>5</v>
      </c>
      <c r="M86" s="1"/>
      <c r="N86" s="1"/>
      <c r="O86" s="1">
        <v>3</v>
      </c>
      <c r="P86" s="1">
        <v>3</v>
      </c>
      <c r="Q86" s="1"/>
      <c r="R86" s="1"/>
      <c r="S86" s="1"/>
      <c r="T86" s="1">
        <v>2</v>
      </c>
      <c r="U86" s="1">
        <v>4</v>
      </c>
      <c r="V86" s="1">
        <v>6</v>
      </c>
      <c r="W86" s="1"/>
      <c r="X86" s="1">
        <v>2</v>
      </c>
      <c r="Y86" s="1">
        <v>2</v>
      </c>
      <c r="Z86" s="1"/>
      <c r="AA86" s="1"/>
      <c r="AB86" s="1"/>
      <c r="AC86" s="1">
        <v>10</v>
      </c>
      <c r="AD86" s="1">
        <v>10</v>
      </c>
      <c r="AE86" s="1"/>
      <c r="AF86" s="1"/>
      <c r="AG86" s="1">
        <v>4</v>
      </c>
      <c r="AH86" s="1">
        <v>3</v>
      </c>
      <c r="AI86" s="1">
        <v>1</v>
      </c>
      <c r="AJ86" s="1">
        <v>3</v>
      </c>
      <c r="AK86" s="1"/>
      <c r="AL86" s="1"/>
      <c r="AM86" s="1">
        <v>1</v>
      </c>
      <c r="AN86" s="1">
        <v>3</v>
      </c>
      <c r="AO86" s="1"/>
      <c r="AP86" s="1"/>
      <c r="AQ86" s="1"/>
      <c r="AR86" s="1"/>
      <c r="AS86" s="1"/>
      <c r="AT86" s="1"/>
      <c r="AU86" s="1">
        <v>10</v>
      </c>
      <c r="AV86" s="1"/>
      <c r="AW86" s="1"/>
      <c r="AX86" s="1">
        <v>14</v>
      </c>
      <c r="AY86" s="1"/>
      <c r="AZ86" s="1">
        <v>78</v>
      </c>
    </row>
    <row r="87" spans="1:52" x14ac:dyDescent="0.25">
      <c r="A87" s="67">
        <v>78</v>
      </c>
      <c r="B87" s="1" t="s">
        <v>177</v>
      </c>
      <c r="C87" s="1">
        <v>1</v>
      </c>
      <c r="D87" s="1">
        <v>4</v>
      </c>
      <c r="E87" s="1">
        <v>0</v>
      </c>
      <c r="F87" s="1"/>
      <c r="G87" s="1">
        <v>6</v>
      </c>
      <c r="H87" s="1">
        <v>4</v>
      </c>
      <c r="I87" s="1"/>
      <c r="J87" s="1"/>
      <c r="K87" s="1">
        <v>0</v>
      </c>
      <c r="L87" s="1">
        <v>5</v>
      </c>
      <c r="M87" s="1"/>
      <c r="N87" s="1"/>
      <c r="O87" s="1">
        <v>4</v>
      </c>
      <c r="P87" s="1">
        <v>2</v>
      </c>
      <c r="Q87" s="1"/>
      <c r="R87" s="1"/>
      <c r="S87" s="1"/>
      <c r="T87" s="1">
        <v>6</v>
      </c>
      <c r="U87" s="1"/>
      <c r="V87" s="1"/>
      <c r="W87" s="1"/>
      <c r="X87" s="1"/>
      <c r="Y87" s="1"/>
      <c r="Z87" s="1">
        <v>2</v>
      </c>
      <c r="AA87" s="1">
        <v>2</v>
      </c>
      <c r="AB87" s="1"/>
      <c r="AC87" s="1">
        <v>10</v>
      </c>
      <c r="AD87" s="1"/>
      <c r="AE87" s="1"/>
      <c r="AF87" s="1"/>
      <c r="AG87" s="1">
        <v>4</v>
      </c>
      <c r="AH87" s="1"/>
      <c r="AI87" s="1">
        <v>4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>
        <v>10</v>
      </c>
      <c r="AV87" s="1"/>
      <c r="AW87" s="1"/>
      <c r="AX87" s="1">
        <v>16</v>
      </c>
      <c r="AY87" s="1"/>
      <c r="AZ87" s="1">
        <v>69</v>
      </c>
    </row>
    <row r="88" spans="1:52" x14ac:dyDescent="0.25">
      <c r="A88" s="67">
        <v>79</v>
      </c>
      <c r="B88" s="1" t="s">
        <v>178</v>
      </c>
      <c r="C88" s="1">
        <v>3</v>
      </c>
      <c r="D88" s="1">
        <v>4</v>
      </c>
      <c r="E88" s="1">
        <v>0</v>
      </c>
      <c r="F88" s="1">
        <v>6</v>
      </c>
      <c r="G88" s="1"/>
      <c r="H88" s="1"/>
      <c r="I88" s="1"/>
      <c r="J88" s="1">
        <v>6</v>
      </c>
      <c r="K88" s="1">
        <v>2</v>
      </c>
      <c r="L88" s="1">
        <v>2</v>
      </c>
      <c r="M88" s="1"/>
      <c r="N88" s="1"/>
      <c r="O88" s="1">
        <v>6</v>
      </c>
      <c r="P88" s="1">
        <v>1</v>
      </c>
      <c r="Q88" s="1"/>
      <c r="R88" s="1"/>
      <c r="S88" s="1"/>
      <c r="T88" s="1">
        <v>4</v>
      </c>
      <c r="U88" s="1">
        <v>5</v>
      </c>
      <c r="V88" s="1">
        <v>3</v>
      </c>
      <c r="W88" s="1">
        <v>6</v>
      </c>
      <c r="X88" s="1"/>
      <c r="Y88" s="1">
        <v>5</v>
      </c>
      <c r="Z88" s="1"/>
      <c r="AA88" s="1"/>
      <c r="AB88" s="1"/>
      <c r="AC88" s="1">
        <v>9</v>
      </c>
      <c r="AD88" s="1"/>
      <c r="AE88" s="1"/>
      <c r="AF88" s="1"/>
      <c r="AG88" s="1">
        <v>4</v>
      </c>
      <c r="AH88" s="1">
        <v>6</v>
      </c>
      <c r="AI88" s="1">
        <v>6</v>
      </c>
      <c r="AJ88" s="1">
        <v>4</v>
      </c>
      <c r="AK88" s="1">
        <v>6</v>
      </c>
      <c r="AL88" s="1">
        <v>4</v>
      </c>
      <c r="AM88" s="1"/>
      <c r="AN88" s="1"/>
      <c r="AO88" s="1"/>
      <c r="AP88" s="1"/>
      <c r="AQ88" s="1">
        <v>4</v>
      </c>
      <c r="AR88" s="1">
        <v>4</v>
      </c>
      <c r="AS88" s="1">
        <v>1</v>
      </c>
      <c r="AT88" s="1">
        <v>3</v>
      </c>
      <c r="AU88" s="1">
        <v>10</v>
      </c>
      <c r="AV88" s="1"/>
      <c r="AW88" s="1"/>
      <c r="AX88" s="1">
        <v>17</v>
      </c>
      <c r="AY88" s="1"/>
      <c r="AZ88" s="1">
        <v>47</v>
      </c>
    </row>
    <row r="89" spans="1:52" x14ac:dyDescent="0.25">
      <c r="A89" s="67">
        <v>80</v>
      </c>
      <c r="B89" s="1" t="s">
        <v>179</v>
      </c>
      <c r="C89" s="1"/>
      <c r="D89" s="1">
        <v>4</v>
      </c>
      <c r="E89" s="1">
        <v>2</v>
      </c>
      <c r="F89" s="1">
        <v>4</v>
      </c>
      <c r="G89" s="1"/>
      <c r="H89" s="1"/>
      <c r="I89" s="1"/>
      <c r="J89" s="1">
        <v>6</v>
      </c>
      <c r="K89" s="1">
        <v>1</v>
      </c>
      <c r="L89" s="1">
        <v>5</v>
      </c>
      <c r="M89" s="1"/>
      <c r="N89" s="1"/>
      <c r="O89" s="1"/>
      <c r="P89" s="1"/>
      <c r="Q89" s="1"/>
      <c r="R89" s="1"/>
      <c r="S89" s="1"/>
      <c r="T89" s="1">
        <v>5</v>
      </c>
      <c r="U89" s="1">
        <v>3</v>
      </c>
      <c r="V89" s="1">
        <v>4</v>
      </c>
      <c r="W89" s="1">
        <v>4</v>
      </c>
      <c r="X89" s="1"/>
      <c r="Y89" s="1"/>
      <c r="Z89" s="1"/>
      <c r="AA89" s="1">
        <v>1</v>
      </c>
      <c r="AB89" s="1"/>
      <c r="AC89" s="1">
        <v>8</v>
      </c>
      <c r="AD89" s="1"/>
      <c r="AE89" s="1"/>
      <c r="AF89" s="1"/>
      <c r="AG89" s="1">
        <v>4</v>
      </c>
      <c r="AH89" s="1">
        <v>6</v>
      </c>
      <c r="AI89" s="1">
        <v>5</v>
      </c>
      <c r="AJ89" s="1">
        <v>3</v>
      </c>
      <c r="AK89" s="1">
        <v>6</v>
      </c>
      <c r="AL89" s="1"/>
      <c r="AM89" s="1"/>
      <c r="AN89" s="1"/>
      <c r="AO89" s="1"/>
      <c r="AP89" s="1"/>
      <c r="AQ89" s="1"/>
      <c r="AR89" s="1">
        <v>4</v>
      </c>
      <c r="AS89" s="1"/>
      <c r="AT89" s="1">
        <v>2</v>
      </c>
      <c r="AU89" s="1"/>
      <c r="AV89" s="1"/>
      <c r="AW89" s="1"/>
      <c r="AX89" s="1">
        <v>14</v>
      </c>
      <c r="AY89" s="1"/>
      <c r="AZ89" s="1">
        <v>72</v>
      </c>
    </row>
    <row r="90" spans="1:52" x14ac:dyDescent="0.25">
      <c r="A90" s="67">
        <v>81</v>
      </c>
      <c r="B90" s="1" t="s">
        <v>180</v>
      </c>
      <c r="C90" s="1">
        <v>6</v>
      </c>
      <c r="D90" s="1">
        <v>4</v>
      </c>
      <c r="E90" s="1"/>
      <c r="F90" s="1">
        <v>6</v>
      </c>
      <c r="G90" s="1">
        <v>6</v>
      </c>
      <c r="H90" s="1">
        <v>4</v>
      </c>
      <c r="I90" s="1"/>
      <c r="J90" s="1"/>
      <c r="K90" s="1">
        <v>5</v>
      </c>
      <c r="L90" s="1">
        <v>2</v>
      </c>
      <c r="M90" s="1"/>
      <c r="N90" s="1"/>
      <c r="O90" s="1"/>
      <c r="P90" s="1"/>
      <c r="Q90" s="1">
        <v>4</v>
      </c>
      <c r="R90" s="1">
        <v>5</v>
      </c>
      <c r="S90" s="1"/>
      <c r="T90" s="1">
        <v>6</v>
      </c>
      <c r="U90" s="1">
        <v>2</v>
      </c>
      <c r="V90" s="1">
        <v>5</v>
      </c>
      <c r="W90" s="1">
        <v>4</v>
      </c>
      <c r="X90" s="1">
        <v>6</v>
      </c>
      <c r="Y90" s="1">
        <v>4</v>
      </c>
      <c r="Z90" s="1"/>
      <c r="AA90" s="1"/>
      <c r="AB90" s="1"/>
      <c r="AC90" s="1">
        <v>8</v>
      </c>
      <c r="AD90" s="1">
        <v>3</v>
      </c>
      <c r="AE90" s="1"/>
      <c r="AF90" s="1"/>
      <c r="AG90" s="1">
        <v>4</v>
      </c>
      <c r="AH90" s="1">
        <v>6</v>
      </c>
      <c r="AI90" s="1">
        <v>5</v>
      </c>
      <c r="AJ90" s="1">
        <v>4</v>
      </c>
      <c r="AK90" s="1">
        <v>2</v>
      </c>
      <c r="AL90" s="1">
        <v>1</v>
      </c>
      <c r="AM90" s="1"/>
      <c r="AN90" s="1"/>
      <c r="AO90" s="1">
        <v>2</v>
      </c>
      <c r="AP90" s="1">
        <v>4</v>
      </c>
      <c r="AQ90" s="1"/>
      <c r="AR90" s="1"/>
      <c r="AS90" s="1"/>
      <c r="AT90" s="1"/>
      <c r="AU90" s="1"/>
      <c r="AV90" s="1"/>
      <c r="AW90" s="1"/>
      <c r="AX90" s="1">
        <v>17</v>
      </c>
      <c r="AY90" s="1"/>
      <c r="AZ90" s="1"/>
    </row>
    <row r="91" spans="1:52" x14ac:dyDescent="0.25">
      <c r="A91" s="67">
        <v>82</v>
      </c>
      <c r="B91" s="1" t="s">
        <v>181</v>
      </c>
      <c r="C91" s="1">
        <v>6</v>
      </c>
      <c r="D91" s="1">
        <v>4</v>
      </c>
      <c r="E91" s="1">
        <v>2</v>
      </c>
      <c r="F91" s="1">
        <v>4</v>
      </c>
      <c r="G91" s="1">
        <v>6</v>
      </c>
      <c r="H91" s="1">
        <v>4</v>
      </c>
      <c r="I91" s="1"/>
      <c r="J91" s="1"/>
      <c r="K91" s="1">
        <v>5</v>
      </c>
      <c r="L91" s="1">
        <v>5</v>
      </c>
      <c r="M91" s="1"/>
      <c r="N91" s="1"/>
      <c r="O91" s="1">
        <v>4</v>
      </c>
      <c r="P91" s="1">
        <v>6</v>
      </c>
      <c r="Q91" s="1"/>
      <c r="R91" s="1"/>
      <c r="S91" s="1"/>
      <c r="T91" s="1">
        <v>6</v>
      </c>
      <c r="U91" s="1">
        <v>4</v>
      </c>
      <c r="V91" s="1">
        <v>6</v>
      </c>
      <c r="W91" s="1">
        <v>4</v>
      </c>
      <c r="X91" s="1">
        <v>5</v>
      </c>
      <c r="Y91" s="1">
        <v>5</v>
      </c>
      <c r="Z91" s="1"/>
      <c r="AA91" s="1"/>
      <c r="AB91" s="1"/>
      <c r="AC91" s="1">
        <v>2</v>
      </c>
      <c r="AD91" s="1">
        <v>8</v>
      </c>
      <c r="AE91" s="1"/>
      <c r="AF91" s="1"/>
      <c r="AG91" s="1">
        <v>4</v>
      </c>
      <c r="AH91" s="1">
        <v>6</v>
      </c>
      <c r="AI91" s="1">
        <v>5</v>
      </c>
      <c r="AJ91" s="1">
        <v>5</v>
      </c>
      <c r="AK91" s="1">
        <v>4</v>
      </c>
      <c r="AL91" s="1"/>
      <c r="AM91" s="1"/>
      <c r="AN91" s="1"/>
      <c r="AO91" s="1"/>
      <c r="AP91" s="1"/>
      <c r="AQ91" s="1"/>
      <c r="AR91" s="1"/>
      <c r="AS91" s="1">
        <v>5</v>
      </c>
      <c r="AT91" s="1">
        <v>5</v>
      </c>
      <c r="AU91" s="1"/>
      <c r="AV91" s="1"/>
      <c r="AW91" s="1"/>
      <c r="AX91" s="1">
        <v>13</v>
      </c>
      <c r="AY91" s="1"/>
      <c r="AZ91" s="1"/>
    </row>
    <row r="92" spans="1:52" x14ac:dyDescent="0.25">
      <c r="A92" s="67">
        <v>83</v>
      </c>
      <c r="B92" s="1" t="s">
        <v>182</v>
      </c>
      <c r="C92" s="1">
        <v>4</v>
      </c>
      <c r="D92" s="1">
        <v>4</v>
      </c>
      <c r="E92" s="1">
        <v>1</v>
      </c>
      <c r="F92" s="1">
        <v>6</v>
      </c>
      <c r="G92" s="1">
        <v>6</v>
      </c>
      <c r="H92" s="1">
        <v>4</v>
      </c>
      <c r="I92" s="1"/>
      <c r="J92" s="1"/>
      <c r="K92" s="1">
        <v>4</v>
      </c>
      <c r="L92" s="1">
        <v>5</v>
      </c>
      <c r="M92" s="1"/>
      <c r="N92" s="1"/>
      <c r="O92" s="1"/>
      <c r="P92" s="1"/>
      <c r="Q92" s="1">
        <v>4</v>
      </c>
      <c r="R92" s="1">
        <v>5</v>
      </c>
      <c r="S92" s="1"/>
      <c r="T92" s="1">
        <v>4</v>
      </c>
      <c r="U92" s="1">
        <v>1</v>
      </c>
      <c r="V92" s="1">
        <v>3</v>
      </c>
      <c r="W92" s="1"/>
      <c r="X92" s="1">
        <v>6</v>
      </c>
      <c r="Y92" s="1">
        <v>4</v>
      </c>
      <c r="Z92" s="1"/>
      <c r="AA92" s="1"/>
      <c r="AB92" s="1"/>
      <c r="AC92" s="1">
        <v>6</v>
      </c>
      <c r="AD92" s="1"/>
      <c r="AE92" s="1"/>
      <c r="AF92" s="1"/>
      <c r="AG92" s="1">
        <v>3</v>
      </c>
      <c r="AH92" s="1">
        <v>2</v>
      </c>
      <c r="AI92" s="1">
        <v>1</v>
      </c>
      <c r="AJ92" s="1">
        <v>5</v>
      </c>
      <c r="AK92" s="1">
        <v>1</v>
      </c>
      <c r="AL92" s="1">
        <v>1</v>
      </c>
      <c r="AM92" s="1"/>
      <c r="AN92" s="1"/>
      <c r="AO92" s="1">
        <v>2</v>
      </c>
      <c r="AP92" s="1">
        <v>5</v>
      </c>
      <c r="AQ92" s="1"/>
      <c r="AR92" s="1"/>
      <c r="AS92" s="1"/>
      <c r="AT92" s="1"/>
      <c r="AU92" s="1"/>
      <c r="AV92" s="1"/>
      <c r="AW92" s="1"/>
      <c r="AX92" s="1">
        <v>13</v>
      </c>
      <c r="AY92" s="1"/>
      <c r="AZ92" s="1">
        <v>37</v>
      </c>
    </row>
    <row r="93" spans="1:52" x14ac:dyDescent="0.25">
      <c r="A93" s="67">
        <v>84</v>
      </c>
      <c r="B93" s="1" t="s">
        <v>183</v>
      </c>
      <c r="C93" s="1">
        <v>6</v>
      </c>
      <c r="D93" s="1">
        <v>4</v>
      </c>
      <c r="E93" s="1"/>
      <c r="F93" s="1">
        <v>6</v>
      </c>
      <c r="G93" s="1">
        <v>6</v>
      </c>
      <c r="H93" s="1">
        <v>4</v>
      </c>
      <c r="I93" s="1"/>
      <c r="J93" s="1"/>
      <c r="K93" s="1">
        <v>5</v>
      </c>
      <c r="L93" s="1">
        <v>5</v>
      </c>
      <c r="M93" s="1"/>
      <c r="N93" s="1"/>
      <c r="O93" s="1"/>
      <c r="P93" s="1"/>
      <c r="Q93" s="1">
        <v>4</v>
      </c>
      <c r="R93" s="1">
        <v>6</v>
      </c>
      <c r="S93" s="1"/>
      <c r="T93" s="1">
        <v>6</v>
      </c>
      <c r="U93" s="1">
        <v>4</v>
      </c>
      <c r="V93" s="1">
        <v>1</v>
      </c>
      <c r="W93" s="1">
        <v>6</v>
      </c>
      <c r="X93" s="1">
        <v>4</v>
      </c>
      <c r="Y93" s="1"/>
      <c r="Z93" s="1"/>
      <c r="AA93" s="1"/>
      <c r="AB93" s="1"/>
      <c r="AC93" s="1">
        <v>10</v>
      </c>
      <c r="AD93" s="1"/>
      <c r="AE93" s="1"/>
      <c r="AF93" s="1"/>
      <c r="AG93" s="1">
        <v>2</v>
      </c>
      <c r="AH93" s="1">
        <v>4</v>
      </c>
      <c r="AI93" s="1">
        <v>6</v>
      </c>
      <c r="AJ93" s="1">
        <v>4</v>
      </c>
      <c r="AK93" s="1">
        <v>2</v>
      </c>
      <c r="AL93" s="1">
        <v>4</v>
      </c>
      <c r="AM93" s="1"/>
      <c r="AN93" s="1"/>
      <c r="AO93" s="1">
        <v>4</v>
      </c>
      <c r="AP93" s="1">
        <v>5</v>
      </c>
      <c r="AQ93" s="1"/>
      <c r="AR93" s="1"/>
      <c r="AS93" s="1"/>
      <c r="AT93" s="1"/>
      <c r="AU93" s="1"/>
      <c r="AV93" s="1"/>
      <c r="AW93" s="1"/>
      <c r="AX93" s="1">
        <v>15</v>
      </c>
      <c r="AY93" s="1"/>
      <c r="AZ93" s="1">
        <v>42</v>
      </c>
    </row>
    <row r="94" spans="1:52" x14ac:dyDescent="0.25">
      <c r="A94" s="67">
        <v>85</v>
      </c>
      <c r="B94" s="1" t="s">
        <v>184</v>
      </c>
      <c r="C94" s="1">
        <v>6</v>
      </c>
      <c r="D94" s="1">
        <v>4</v>
      </c>
      <c r="E94" s="1">
        <v>1</v>
      </c>
      <c r="F94" s="1">
        <v>6</v>
      </c>
      <c r="G94" s="1">
        <v>6</v>
      </c>
      <c r="H94" s="1">
        <v>4</v>
      </c>
      <c r="I94" s="1"/>
      <c r="J94" s="1"/>
      <c r="K94" s="1">
        <v>4</v>
      </c>
      <c r="L94" s="1"/>
      <c r="M94" s="1"/>
      <c r="N94" s="1"/>
      <c r="O94" s="1"/>
      <c r="P94" s="1">
        <v>3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>
        <v>4</v>
      </c>
      <c r="AH94" s="1">
        <v>5</v>
      </c>
      <c r="AI94" s="1">
        <v>6</v>
      </c>
      <c r="AJ94" s="1">
        <v>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>
        <v>13</v>
      </c>
      <c r="AY94" s="1"/>
      <c r="AZ94" s="1">
        <v>55</v>
      </c>
    </row>
    <row r="95" spans="1:52" x14ac:dyDescent="0.25">
      <c r="A95" s="67">
        <v>86</v>
      </c>
      <c r="B95" s="1" t="s">
        <v>185</v>
      </c>
      <c r="C95" s="1">
        <v>4</v>
      </c>
      <c r="D95" s="1">
        <v>4</v>
      </c>
      <c r="E95" s="1">
        <v>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>
        <v>6</v>
      </c>
      <c r="U95" s="1">
        <v>5</v>
      </c>
      <c r="V95" s="1">
        <v>4</v>
      </c>
      <c r="W95" s="1"/>
      <c r="X95" s="1"/>
      <c r="Y95" s="1"/>
      <c r="Z95" s="1"/>
      <c r="AA95" s="1">
        <v>5</v>
      </c>
      <c r="AB95" s="1"/>
      <c r="AC95" s="1"/>
      <c r="AD95" s="1"/>
      <c r="AE95" s="1">
        <v>9</v>
      </c>
      <c r="AF95" s="1"/>
      <c r="AG95" s="1">
        <v>5</v>
      </c>
      <c r="AH95" s="1">
        <v>6</v>
      </c>
      <c r="AI95" s="1">
        <v>5</v>
      </c>
      <c r="AJ95" s="1"/>
      <c r="AK95" s="1"/>
      <c r="AL95" s="1"/>
      <c r="AM95" s="1"/>
      <c r="AN95" s="1">
        <v>4</v>
      </c>
      <c r="AO95" s="1"/>
      <c r="AP95" s="1"/>
      <c r="AQ95" s="1"/>
      <c r="AR95" s="1">
        <v>5</v>
      </c>
      <c r="AS95" s="1">
        <v>4</v>
      </c>
      <c r="AT95" s="1"/>
      <c r="AU95" s="1"/>
      <c r="AV95" s="1"/>
      <c r="AW95" s="1"/>
      <c r="AX95" s="1">
        <v>16</v>
      </c>
      <c r="AY95" s="1"/>
      <c r="AZ95" s="1">
        <v>66</v>
      </c>
    </row>
    <row r="96" spans="1:52" x14ac:dyDescent="0.25">
      <c r="A96" s="67">
        <v>87</v>
      </c>
      <c r="B96" s="1" t="s">
        <v>186</v>
      </c>
      <c r="C96" s="1">
        <v>6</v>
      </c>
      <c r="D96" s="1">
        <v>4</v>
      </c>
      <c r="E96" s="1">
        <v>1</v>
      </c>
      <c r="F96" s="1">
        <v>6</v>
      </c>
      <c r="G96" s="1">
        <v>6</v>
      </c>
      <c r="H96" s="1">
        <v>4</v>
      </c>
      <c r="I96" s="1"/>
      <c r="J96" s="1"/>
      <c r="K96" s="1">
        <v>4</v>
      </c>
      <c r="L96" s="1"/>
      <c r="M96" s="1"/>
      <c r="N96" s="1"/>
      <c r="O96" s="1"/>
      <c r="P96" s="1">
        <v>3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>
        <v>4</v>
      </c>
      <c r="AH96" s="1">
        <v>5</v>
      </c>
      <c r="AI96" s="1">
        <v>6</v>
      </c>
      <c r="AJ96" s="1">
        <v>4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>
        <v>15</v>
      </c>
      <c r="AY96" s="1"/>
      <c r="AZ96" s="1">
        <v>52</v>
      </c>
    </row>
    <row r="97" spans="1:52" x14ac:dyDescent="0.25">
      <c r="A97" s="67">
        <v>88</v>
      </c>
      <c r="B97" s="1" t="s">
        <v>187</v>
      </c>
      <c r="C97" s="1"/>
      <c r="D97" s="1">
        <v>4</v>
      </c>
      <c r="E97" s="1"/>
      <c r="F97" s="1">
        <v>2</v>
      </c>
      <c r="G97" s="1">
        <v>2</v>
      </c>
      <c r="H97" s="1">
        <v>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4</v>
      </c>
      <c r="U97" s="1">
        <v>5</v>
      </c>
      <c r="V97" s="1"/>
      <c r="W97" s="1"/>
      <c r="X97" s="1"/>
      <c r="Y97" s="1"/>
      <c r="Z97" s="1"/>
      <c r="AA97" s="1">
        <v>5</v>
      </c>
      <c r="AB97" s="1">
        <v>10</v>
      </c>
      <c r="AC97" s="1"/>
      <c r="AD97" s="1"/>
      <c r="AE97" s="1">
        <v>10</v>
      </c>
      <c r="AF97" s="1"/>
      <c r="AG97" s="1">
        <v>2</v>
      </c>
      <c r="AH97" s="1">
        <v>2</v>
      </c>
      <c r="AI97" s="1">
        <v>6</v>
      </c>
      <c r="AJ97" s="1">
        <v>4</v>
      </c>
      <c r="AK97" s="1"/>
      <c r="AL97" s="1">
        <v>4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>
        <v>14</v>
      </c>
      <c r="AY97" s="1"/>
      <c r="AZ97" s="1">
        <v>68</v>
      </c>
    </row>
    <row r="98" spans="1:52" x14ac:dyDescent="0.25">
      <c r="A98" s="67">
        <v>89</v>
      </c>
      <c r="B98" s="1" t="s">
        <v>188</v>
      </c>
      <c r="C98" s="1">
        <v>6</v>
      </c>
      <c r="D98" s="1">
        <v>4</v>
      </c>
      <c r="E98" s="1">
        <v>1</v>
      </c>
      <c r="F98" s="1">
        <v>6</v>
      </c>
      <c r="G98" s="1">
        <v>6</v>
      </c>
      <c r="H98" s="1">
        <v>4</v>
      </c>
      <c r="I98" s="1"/>
      <c r="J98" s="1"/>
      <c r="K98" s="1">
        <v>4</v>
      </c>
      <c r="L98" s="1"/>
      <c r="M98" s="1"/>
      <c r="N98" s="1"/>
      <c r="O98" s="1"/>
      <c r="P98" s="1">
        <v>3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>
        <v>4</v>
      </c>
      <c r="AH98" s="1">
        <v>5</v>
      </c>
      <c r="AI98" s="1">
        <v>6</v>
      </c>
      <c r="AJ98" s="1">
        <v>4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>
        <v>13</v>
      </c>
      <c r="AY98" s="1"/>
      <c r="AZ98" s="1">
        <v>53</v>
      </c>
    </row>
    <row r="99" spans="1:52" x14ac:dyDescent="0.25">
      <c r="A99" s="67">
        <v>90</v>
      </c>
      <c r="B99" s="1" t="s">
        <v>189</v>
      </c>
      <c r="C99" s="1">
        <v>2</v>
      </c>
      <c r="D99" s="1">
        <v>4</v>
      </c>
      <c r="E99" s="1">
        <v>2</v>
      </c>
      <c r="F99" s="1">
        <v>6</v>
      </c>
      <c r="G99" s="1">
        <v>5</v>
      </c>
      <c r="H99" s="1">
        <v>4</v>
      </c>
      <c r="I99" s="1"/>
      <c r="J99" s="1"/>
      <c r="K99" s="1">
        <v>4</v>
      </c>
      <c r="L99" s="1">
        <v>2</v>
      </c>
      <c r="M99" s="1"/>
      <c r="N99" s="1"/>
      <c r="O99" s="1">
        <v>1</v>
      </c>
      <c r="P99" s="1"/>
      <c r="Q99" s="1"/>
      <c r="R99" s="1"/>
      <c r="S99" s="1"/>
      <c r="T99" s="1">
        <v>4</v>
      </c>
      <c r="U99" s="1"/>
      <c r="V99" s="1"/>
      <c r="W99" s="1">
        <v>1</v>
      </c>
      <c r="X99" s="1"/>
      <c r="Y99" s="1"/>
      <c r="Z99" s="1">
        <v>1</v>
      </c>
      <c r="AA99" s="1"/>
      <c r="AB99" s="1"/>
      <c r="AC99" s="1">
        <v>2</v>
      </c>
      <c r="AD99" s="1"/>
      <c r="AE99" s="1"/>
      <c r="AF99" s="1"/>
      <c r="AG99" s="1">
        <v>4</v>
      </c>
      <c r="AH99" s="1">
        <v>4</v>
      </c>
      <c r="AI99" s="1">
        <v>6</v>
      </c>
      <c r="AJ99" s="1"/>
      <c r="AK99" s="1"/>
      <c r="AL99" s="1"/>
      <c r="AM99" s="1"/>
      <c r="AN99" s="1"/>
      <c r="AO99" s="1"/>
      <c r="AP99" s="1"/>
      <c r="AQ99" s="1">
        <v>4</v>
      </c>
      <c r="AR99" s="1">
        <v>2</v>
      </c>
      <c r="AS99" s="1"/>
      <c r="AT99" s="1"/>
      <c r="AU99" s="1">
        <v>10</v>
      </c>
      <c r="AV99" s="1"/>
      <c r="AW99" s="1"/>
      <c r="AX99" s="1">
        <v>13</v>
      </c>
      <c r="AY99" s="1"/>
      <c r="AZ99" s="1">
        <v>58</v>
      </c>
    </row>
    <row r="100" spans="1:52" x14ac:dyDescent="0.25">
      <c r="A100" s="67">
        <v>91</v>
      </c>
      <c r="B100" s="1" t="s">
        <v>190</v>
      </c>
      <c r="C100" s="1">
        <v>3</v>
      </c>
      <c r="D100" s="1">
        <v>4</v>
      </c>
      <c r="E100" s="1">
        <v>2</v>
      </c>
      <c r="F100" s="1">
        <v>5</v>
      </c>
      <c r="G100" s="1">
        <v>6</v>
      </c>
      <c r="H100" s="1">
        <v>3</v>
      </c>
      <c r="I100" s="1">
        <v>5</v>
      </c>
      <c r="J100" s="1">
        <v>5</v>
      </c>
      <c r="K100" s="1"/>
      <c r="L100" s="1"/>
      <c r="M100" s="1"/>
      <c r="N100" s="1"/>
      <c r="O100" s="1"/>
      <c r="P100" s="1"/>
      <c r="Q100" s="1">
        <v>2</v>
      </c>
      <c r="R100" s="1"/>
      <c r="S100" s="1"/>
      <c r="T100" s="1">
        <v>6</v>
      </c>
      <c r="U100" s="1">
        <v>1</v>
      </c>
      <c r="V100" s="1"/>
      <c r="W100" s="1"/>
      <c r="X100" s="1"/>
      <c r="Y100" s="1"/>
      <c r="Z100" s="1"/>
      <c r="AA100" s="1">
        <v>3</v>
      </c>
      <c r="AB100" s="1">
        <v>1</v>
      </c>
      <c r="AC100" s="1"/>
      <c r="AD100" s="1"/>
      <c r="AE100" s="1">
        <v>5</v>
      </c>
      <c r="AF100" s="1"/>
      <c r="AG100" s="1">
        <v>4</v>
      </c>
      <c r="AH100" s="1">
        <v>2</v>
      </c>
      <c r="AI100" s="1">
        <v>3</v>
      </c>
      <c r="AJ100" s="1">
        <v>1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>
        <v>10</v>
      </c>
      <c r="AV100" s="1"/>
      <c r="AW100" s="1"/>
      <c r="AX100" s="1">
        <v>13</v>
      </c>
      <c r="AY100" s="1"/>
      <c r="AZ100" s="1">
        <v>69</v>
      </c>
    </row>
    <row r="101" spans="1:52" x14ac:dyDescent="0.25">
      <c r="A101" s="67">
        <v>92</v>
      </c>
      <c r="B101" s="1" t="s">
        <v>191</v>
      </c>
      <c r="C101" s="1">
        <v>4</v>
      </c>
      <c r="D101" s="1">
        <v>4</v>
      </c>
      <c r="E101" s="1"/>
      <c r="F101" s="1">
        <v>3</v>
      </c>
      <c r="G101" s="1">
        <v>5</v>
      </c>
      <c r="H101" s="1">
        <v>4</v>
      </c>
      <c r="I101" s="1"/>
      <c r="J101" s="1">
        <v>5</v>
      </c>
      <c r="K101" s="1">
        <v>5</v>
      </c>
      <c r="L101" s="1"/>
      <c r="M101" s="1"/>
      <c r="N101" s="1"/>
      <c r="O101" s="1">
        <v>4</v>
      </c>
      <c r="P101" s="1"/>
      <c r="Q101" s="1"/>
      <c r="R101" s="1"/>
      <c r="S101" s="1"/>
      <c r="T101" s="1">
        <v>6</v>
      </c>
      <c r="U101" s="1">
        <v>4</v>
      </c>
      <c r="V101" s="1"/>
      <c r="W101" s="1">
        <v>3</v>
      </c>
      <c r="X101" s="1"/>
      <c r="Y101" s="1">
        <v>3</v>
      </c>
      <c r="Z101" s="1"/>
      <c r="AA101" s="1"/>
      <c r="AB101" s="1"/>
      <c r="AC101" s="1">
        <v>6</v>
      </c>
      <c r="AD101" s="1"/>
      <c r="AE101" s="1">
        <v>1</v>
      </c>
      <c r="AF101" s="1"/>
      <c r="AG101" s="1">
        <v>4</v>
      </c>
      <c r="AH101" s="1">
        <v>6</v>
      </c>
      <c r="AI101" s="1">
        <v>6</v>
      </c>
      <c r="AJ101" s="1">
        <v>4</v>
      </c>
      <c r="AK101" s="1">
        <v>3</v>
      </c>
      <c r="AL101" s="1">
        <v>4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>
        <v>16</v>
      </c>
      <c r="AY101" s="1"/>
      <c r="AZ101" s="1">
        <v>41</v>
      </c>
    </row>
    <row r="102" spans="1:52" x14ac:dyDescent="0.25">
      <c r="A102" s="67">
        <v>93</v>
      </c>
      <c r="B102" s="1" t="s">
        <v>192</v>
      </c>
      <c r="C102" s="1">
        <v>6</v>
      </c>
      <c r="D102" s="1">
        <v>4</v>
      </c>
      <c r="E102" s="1">
        <v>3</v>
      </c>
      <c r="F102" s="1">
        <v>6</v>
      </c>
      <c r="G102" s="1">
        <v>6</v>
      </c>
      <c r="H102" s="1">
        <v>4</v>
      </c>
      <c r="I102" s="1"/>
      <c r="J102" s="1"/>
      <c r="K102" s="1">
        <v>5</v>
      </c>
      <c r="L102" s="1">
        <v>1</v>
      </c>
      <c r="M102" s="1"/>
      <c r="N102" s="1"/>
      <c r="O102" s="1"/>
      <c r="P102" s="1">
        <v>2</v>
      </c>
      <c r="Q102" s="1"/>
      <c r="R102" s="1"/>
      <c r="S102" s="1"/>
      <c r="T102" s="1">
        <v>6</v>
      </c>
      <c r="U102" s="1">
        <v>3</v>
      </c>
      <c r="V102" s="1"/>
      <c r="W102" s="1">
        <v>6</v>
      </c>
      <c r="X102" s="1">
        <v>6</v>
      </c>
      <c r="Y102" s="1">
        <v>4</v>
      </c>
      <c r="Z102" s="1"/>
      <c r="AA102" s="1"/>
      <c r="AB102" s="1">
        <v>5</v>
      </c>
      <c r="AC102" s="1"/>
      <c r="AD102" s="1"/>
      <c r="AE102" s="1"/>
      <c r="AF102" s="1"/>
      <c r="AG102" s="1">
        <v>4</v>
      </c>
      <c r="AH102" s="1">
        <v>6</v>
      </c>
      <c r="AI102" s="1">
        <v>6</v>
      </c>
      <c r="AJ102" s="1">
        <v>5</v>
      </c>
      <c r="AK102" s="1">
        <v>6</v>
      </c>
      <c r="AL102" s="1">
        <v>4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>
        <v>14</v>
      </c>
      <c r="AY102" s="1"/>
    </row>
    <row r="103" spans="1:52" x14ac:dyDescent="0.25">
      <c r="A103" s="67">
        <v>94</v>
      </c>
      <c r="B103" s="1" t="s">
        <v>193</v>
      </c>
      <c r="C103" s="1">
        <v>1</v>
      </c>
      <c r="D103" s="1">
        <v>4</v>
      </c>
      <c r="E103" s="1"/>
      <c r="F103" s="1">
        <v>6</v>
      </c>
      <c r="G103" s="1">
        <v>2</v>
      </c>
      <c r="H103" s="1">
        <v>4</v>
      </c>
      <c r="I103" s="1"/>
      <c r="J103" s="1"/>
      <c r="K103" s="1">
        <v>2</v>
      </c>
      <c r="L103" s="1">
        <v>1</v>
      </c>
      <c r="M103" s="1"/>
      <c r="N103" s="1"/>
      <c r="O103" s="1"/>
      <c r="P103" s="1"/>
      <c r="Q103" s="1"/>
      <c r="R103" s="1"/>
      <c r="S103" s="1"/>
      <c r="T103" s="1">
        <v>6</v>
      </c>
      <c r="U103" s="1">
        <v>4</v>
      </c>
      <c r="V103" s="1">
        <v>6</v>
      </c>
      <c r="W103" s="1">
        <v>4</v>
      </c>
      <c r="X103" s="1"/>
      <c r="Y103" s="1"/>
      <c r="Z103" s="1"/>
      <c r="AA103" s="1">
        <v>2</v>
      </c>
      <c r="AB103" s="1"/>
      <c r="AC103" s="1"/>
      <c r="AD103" s="1"/>
      <c r="AE103" s="1"/>
      <c r="AF103" s="1"/>
      <c r="AG103" s="1">
        <v>5</v>
      </c>
      <c r="AH103" s="1">
        <v>5</v>
      </c>
      <c r="AI103" s="1">
        <v>5</v>
      </c>
      <c r="AJ103" s="1">
        <v>5</v>
      </c>
      <c r="AK103" s="1">
        <v>4</v>
      </c>
      <c r="AL103" s="1">
        <v>4</v>
      </c>
      <c r="AM103" s="1"/>
      <c r="AN103" s="1">
        <v>5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2" x14ac:dyDescent="0.25">
      <c r="B104" s="68" t="s">
        <v>194</v>
      </c>
      <c r="C104" s="20">
        <f>COUNTIF(C10:C103,"&gt;="&amp;C8)</f>
        <v>63</v>
      </c>
      <c r="D104" s="20">
        <f t="shared" ref="D104:AZ104" si="4">COUNTIF(D10:D103,"&gt;="&amp;D8)</f>
        <v>88</v>
      </c>
      <c r="E104" s="20">
        <f t="shared" si="4"/>
        <v>15</v>
      </c>
      <c r="F104" s="20">
        <f t="shared" si="4"/>
        <v>84</v>
      </c>
      <c r="G104" s="20">
        <f t="shared" si="4"/>
        <v>65</v>
      </c>
      <c r="H104" s="20">
        <f t="shared" si="4"/>
        <v>68</v>
      </c>
      <c r="I104" s="20">
        <f t="shared" si="4"/>
        <v>13</v>
      </c>
      <c r="J104" s="20">
        <f t="shared" si="4"/>
        <v>20</v>
      </c>
      <c r="K104" s="20">
        <f t="shared" si="4"/>
        <v>61</v>
      </c>
      <c r="L104" s="20">
        <f t="shared" si="4"/>
        <v>51</v>
      </c>
      <c r="M104" s="20">
        <f t="shared" si="4"/>
        <v>2</v>
      </c>
      <c r="N104" s="20">
        <f t="shared" si="4"/>
        <v>2</v>
      </c>
      <c r="O104" s="20">
        <f t="shared" si="4"/>
        <v>37</v>
      </c>
      <c r="P104" s="20">
        <f t="shared" si="4"/>
        <v>31</v>
      </c>
      <c r="Q104" s="20">
        <f t="shared" si="4"/>
        <v>19</v>
      </c>
      <c r="R104" s="20">
        <f t="shared" si="4"/>
        <v>17</v>
      </c>
      <c r="S104" s="20">
        <f t="shared" si="4"/>
        <v>0</v>
      </c>
      <c r="T104" s="20">
        <f t="shared" si="4"/>
        <v>72</v>
      </c>
      <c r="U104" s="20">
        <f t="shared" si="4"/>
        <v>29</v>
      </c>
      <c r="V104" s="20">
        <f t="shared" si="4"/>
        <v>40</v>
      </c>
      <c r="W104" s="20">
        <f t="shared" si="4"/>
        <v>23</v>
      </c>
      <c r="X104" s="20">
        <f t="shared" si="4"/>
        <v>38</v>
      </c>
      <c r="Y104" s="20">
        <f t="shared" si="4"/>
        <v>34</v>
      </c>
      <c r="Z104" s="20">
        <f t="shared" si="4"/>
        <v>1</v>
      </c>
      <c r="AA104" s="20">
        <f t="shared" si="4"/>
        <v>6</v>
      </c>
      <c r="AB104" s="20">
        <f t="shared" si="4"/>
        <v>6</v>
      </c>
      <c r="AC104" s="20">
        <f t="shared" si="4"/>
        <v>46</v>
      </c>
      <c r="AD104" s="20">
        <f t="shared" si="4"/>
        <v>20</v>
      </c>
      <c r="AE104" s="20">
        <f t="shared" si="4"/>
        <v>18</v>
      </c>
      <c r="AF104" s="20">
        <f t="shared" si="4"/>
        <v>0</v>
      </c>
      <c r="AG104" s="20">
        <f t="shared" si="4"/>
        <v>64</v>
      </c>
      <c r="AH104" s="20">
        <f t="shared" si="4"/>
        <v>48</v>
      </c>
      <c r="AI104" s="20">
        <f t="shared" si="4"/>
        <v>65</v>
      </c>
      <c r="AJ104" s="20">
        <f t="shared" si="4"/>
        <v>53</v>
      </c>
      <c r="AK104" s="20">
        <f t="shared" si="4"/>
        <v>19</v>
      </c>
      <c r="AL104" s="20">
        <f t="shared" si="4"/>
        <v>28</v>
      </c>
      <c r="AM104" s="20">
        <f t="shared" si="4"/>
        <v>8</v>
      </c>
      <c r="AN104" s="20">
        <f t="shared" si="4"/>
        <v>13</v>
      </c>
      <c r="AO104" s="20">
        <f t="shared" si="4"/>
        <v>9</v>
      </c>
      <c r="AP104" s="20">
        <f t="shared" si="4"/>
        <v>22</v>
      </c>
      <c r="AQ104" s="20">
        <f t="shared" si="4"/>
        <v>7</v>
      </c>
      <c r="AR104" s="20">
        <f t="shared" si="4"/>
        <v>5</v>
      </c>
      <c r="AS104" s="20">
        <f t="shared" si="4"/>
        <v>12</v>
      </c>
      <c r="AT104" s="20">
        <f t="shared" si="4"/>
        <v>7</v>
      </c>
      <c r="AU104" s="20">
        <f t="shared" si="4"/>
        <v>29</v>
      </c>
      <c r="AV104" s="20">
        <f t="shared" si="4"/>
        <v>0</v>
      </c>
      <c r="AW104" s="20">
        <f t="shared" si="4"/>
        <v>19</v>
      </c>
      <c r="AX104" s="20">
        <f t="shared" si="4"/>
        <v>91</v>
      </c>
      <c r="AY104" s="20">
        <f t="shared" si="4"/>
        <v>39</v>
      </c>
      <c r="AZ104" s="20">
        <f t="shared" si="4"/>
        <v>30</v>
      </c>
    </row>
    <row r="105" spans="1:52" x14ac:dyDescent="0.25">
      <c r="B105" s="69" t="s">
        <v>195</v>
      </c>
      <c r="C105" s="21">
        <f>COUNTIF(C10:C103,"&lt;&gt;")</f>
        <v>86</v>
      </c>
      <c r="D105" s="21">
        <f t="shared" ref="D105:AZ105" si="5">COUNTIF(D10:D103,"&lt;&gt;")</f>
        <v>91</v>
      </c>
      <c r="E105" s="21">
        <f t="shared" si="5"/>
        <v>56</v>
      </c>
      <c r="F105" s="21">
        <f t="shared" si="5"/>
        <v>87</v>
      </c>
      <c r="G105" s="21">
        <f t="shared" si="5"/>
        <v>72</v>
      </c>
      <c r="H105" s="21">
        <f t="shared" si="5"/>
        <v>70</v>
      </c>
      <c r="I105" s="21">
        <f t="shared" si="5"/>
        <v>14</v>
      </c>
      <c r="J105" s="21">
        <f t="shared" si="5"/>
        <v>22</v>
      </c>
      <c r="K105" s="21">
        <f t="shared" si="5"/>
        <v>78</v>
      </c>
      <c r="L105" s="21">
        <f t="shared" si="5"/>
        <v>74</v>
      </c>
      <c r="M105" s="21">
        <f t="shared" si="5"/>
        <v>2</v>
      </c>
      <c r="N105" s="21">
        <f t="shared" si="5"/>
        <v>2</v>
      </c>
      <c r="O105" s="21">
        <f t="shared" si="5"/>
        <v>51</v>
      </c>
      <c r="P105" s="21">
        <f t="shared" si="5"/>
        <v>56</v>
      </c>
      <c r="Q105" s="21">
        <f t="shared" si="5"/>
        <v>23</v>
      </c>
      <c r="R105" s="21">
        <f t="shared" si="5"/>
        <v>22</v>
      </c>
      <c r="S105" s="21">
        <f t="shared" si="5"/>
        <v>50</v>
      </c>
      <c r="T105" s="21">
        <f t="shared" si="5"/>
        <v>80</v>
      </c>
      <c r="U105" s="21">
        <f t="shared" si="5"/>
        <v>62</v>
      </c>
      <c r="V105" s="21">
        <f t="shared" si="5"/>
        <v>57</v>
      </c>
      <c r="W105" s="21">
        <f t="shared" si="5"/>
        <v>53</v>
      </c>
      <c r="X105" s="21">
        <f t="shared" si="5"/>
        <v>52</v>
      </c>
      <c r="Y105" s="21">
        <f t="shared" si="5"/>
        <v>58</v>
      </c>
      <c r="Z105" s="21">
        <f t="shared" si="5"/>
        <v>13</v>
      </c>
      <c r="AA105" s="21">
        <f t="shared" si="5"/>
        <v>16</v>
      </c>
      <c r="AB105" s="21">
        <f t="shared" si="5"/>
        <v>17</v>
      </c>
      <c r="AC105" s="21">
        <f t="shared" si="5"/>
        <v>62</v>
      </c>
      <c r="AD105" s="21">
        <f t="shared" si="5"/>
        <v>31</v>
      </c>
      <c r="AE105" s="21">
        <f t="shared" si="5"/>
        <v>33</v>
      </c>
      <c r="AF105" s="21">
        <f t="shared" si="5"/>
        <v>49</v>
      </c>
      <c r="AG105" s="21">
        <f t="shared" si="5"/>
        <v>80</v>
      </c>
      <c r="AH105" s="21">
        <f t="shared" si="5"/>
        <v>77</v>
      </c>
      <c r="AI105" s="21">
        <f t="shared" si="5"/>
        <v>78</v>
      </c>
      <c r="AJ105" s="21">
        <f t="shared" si="5"/>
        <v>65</v>
      </c>
      <c r="AK105" s="21">
        <f t="shared" si="5"/>
        <v>47</v>
      </c>
      <c r="AL105" s="21">
        <f t="shared" si="5"/>
        <v>45</v>
      </c>
      <c r="AM105" s="21">
        <f t="shared" si="5"/>
        <v>12</v>
      </c>
      <c r="AN105" s="21">
        <f t="shared" si="5"/>
        <v>21</v>
      </c>
      <c r="AO105" s="21">
        <f t="shared" si="5"/>
        <v>22</v>
      </c>
      <c r="AP105" s="21">
        <f t="shared" si="5"/>
        <v>29</v>
      </c>
      <c r="AQ105" s="21">
        <f t="shared" si="5"/>
        <v>11</v>
      </c>
      <c r="AR105" s="21">
        <f t="shared" si="5"/>
        <v>12</v>
      </c>
      <c r="AS105" s="21">
        <f t="shared" si="5"/>
        <v>25</v>
      </c>
      <c r="AT105" s="21">
        <f t="shared" si="5"/>
        <v>21</v>
      </c>
      <c r="AU105" s="21">
        <f t="shared" si="5"/>
        <v>38</v>
      </c>
      <c r="AV105" s="21">
        <f t="shared" si="5"/>
        <v>49</v>
      </c>
      <c r="AW105" s="21">
        <f t="shared" si="5"/>
        <v>49</v>
      </c>
      <c r="AX105" s="21">
        <f t="shared" si="5"/>
        <v>93</v>
      </c>
      <c r="AY105" s="21">
        <f t="shared" si="5"/>
        <v>49</v>
      </c>
      <c r="AZ105" s="21">
        <f t="shared" si="5"/>
        <v>83</v>
      </c>
    </row>
    <row r="106" spans="1:52" x14ac:dyDescent="0.25">
      <c r="B106" s="70" t="s">
        <v>10</v>
      </c>
      <c r="C106" s="22">
        <f>C104*100/C105</f>
        <v>73.255813953488371</v>
      </c>
      <c r="D106" s="22">
        <f t="shared" ref="D106:AZ106" si="6">D104*100/D105</f>
        <v>96.703296703296701</v>
      </c>
      <c r="E106" s="22">
        <f t="shared" si="6"/>
        <v>26.785714285714285</v>
      </c>
      <c r="F106" s="22">
        <f t="shared" si="6"/>
        <v>96.551724137931032</v>
      </c>
      <c r="G106" s="22">
        <f t="shared" si="6"/>
        <v>90.277777777777771</v>
      </c>
      <c r="H106" s="22">
        <f t="shared" si="6"/>
        <v>97.142857142857139</v>
      </c>
      <c r="I106" s="22">
        <f t="shared" si="6"/>
        <v>92.857142857142861</v>
      </c>
      <c r="J106" s="22">
        <f t="shared" si="6"/>
        <v>90.909090909090907</v>
      </c>
      <c r="K106" s="22">
        <f t="shared" si="6"/>
        <v>78.205128205128204</v>
      </c>
      <c r="L106" s="22">
        <f t="shared" si="6"/>
        <v>68.918918918918919</v>
      </c>
      <c r="M106" s="22">
        <f t="shared" si="6"/>
        <v>100</v>
      </c>
      <c r="N106" s="22">
        <f t="shared" si="6"/>
        <v>100</v>
      </c>
      <c r="O106" s="22">
        <f t="shared" si="6"/>
        <v>72.549019607843135</v>
      </c>
      <c r="P106" s="22">
        <f t="shared" si="6"/>
        <v>55.357142857142854</v>
      </c>
      <c r="Q106" s="22">
        <f t="shared" si="6"/>
        <v>82.608695652173907</v>
      </c>
      <c r="R106" s="22">
        <f t="shared" si="6"/>
        <v>77.272727272727266</v>
      </c>
      <c r="S106" s="22">
        <f t="shared" si="6"/>
        <v>0</v>
      </c>
      <c r="T106" s="22">
        <f t="shared" si="6"/>
        <v>90</v>
      </c>
      <c r="U106" s="22">
        <f t="shared" si="6"/>
        <v>46.774193548387096</v>
      </c>
      <c r="V106" s="22">
        <f t="shared" si="6"/>
        <v>70.175438596491233</v>
      </c>
      <c r="W106" s="22">
        <f t="shared" si="6"/>
        <v>43.39622641509434</v>
      </c>
      <c r="X106" s="22">
        <f t="shared" si="6"/>
        <v>73.07692307692308</v>
      </c>
      <c r="Y106" s="22">
        <f t="shared" si="6"/>
        <v>58.620689655172413</v>
      </c>
      <c r="Z106" s="22">
        <f t="shared" si="6"/>
        <v>7.6923076923076925</v>
      </c>
      <c r="AA106" s="22">
        <f t="shared" si="6"/>
        <v>37.5</v>
      </c>
      <c r="AB106" s="22">
        <f t="shared" si="6"/>
        <v>35.294117647058826</v>
      </c>
      <c r="AC106" s="22">
        <f t="shared" si="6"/>
        <v>74.193548387096769</v>
      </c>
      <c r="AD106" s="22">
        <f t="shared" si="6"/>
        <v>64.516129032258064</v>
      </c>
      <c r="AE106" s="22">
        <f t="shared" si="6"/>
        <v>54.545454545454547</v>
      </c>
      <c r="AF106" s="22">
        <f t="shared" si="6"/>
        <v>0</v>
      </c>
      <c r="AG106" s="22">
        <f t="shared" si="6"/>
        <v>80</v>
      </c>
      <c r="AH106" s="22">
        <f t="shared" si="6"/>
        <v>62.337662337662337</v>
      </c>
      <c r="AI106" s="22">
        <f t="shared" si="6"/>
        <v>83.333333333333329</v>
      </c>
      <c r="AJ106" s="22">
        <f t="shared" si="6"/>
        <v>81.538461538461533</v>
      </c>
      <c r="AK106" s="22">
        <f t="shared" si="6"/>
        <v>40.425531914893618</v>
      </c>
      <c r="AL106" s="22">
        <f t="shared" si="6"/>
        <v>62.222222222222221</v>
      </c>
      <c r="AM106" s="22">
        <f t="shared" si="6"/>
        <v>66.666666666666671</v>
      </c>
      <c r="AN106" s="22">
        <f t="shared" si="6"/>
        <v>61.904761904761905</v>
      </c>
      <c r="AO106" s="22">
        <f t="shared" si="6"/>
        <v>40.909090909090907</v>
      </c>
      <c r="AP106" s="22">
        <f t="shared" si="6"/>
        <v>75.862068965517238</v>
      </c>
      <c r="AQ106" s="22">
        <f t="shared" si="6"/>
        <v>63.636363636363633</v>
      </c>
      <c r="AR106" s="22">
        <f t="shared" si="6"/>
        <v>41.666666666666664</v>
      </c>
      <c r="AS106" s="22">
        <f t="shared" si="6"/>
        <v>48</v>
      </c>
      <c r="AT106" s="22">
        <f t="shared" si="6"/>
        <v>33.333333333333336</v>
      </c>
      <c r="AU106" s="22">
        <f t="shared" si="6"/>
        <v>76.315789473684205</v>
      </c>
      <c r="AV106" s="22">
        <f t="shared" si="6"/>
        <v>0</v>
      </c>
      <c r="AW106" s="22">
        <f t="shared" si="6"/>
        <v>38.775510204081634</v>
      </c>
      <c r="AX106" s="22">
        <f t="shared" si="6"/>
        <v>97.849462365591393</v>
      </c>
      <c r="AY106" s="22">
        <f t="shared" si="6"/>
        <v>79.591836734693871</v>
      </c>
      <c r="AZ106" s="22">
        <f t="shared" si="6"/>
        <v>36.144578313253014</v>
      </c>
    </row>
    <row r="108" spans="1:52" ht="15.75" x14ac:dyDescent="0.25">
      <c r="B108" s="1" t="s">
        <v>196</v>
      </c>
      <c r="C108" s="1" t="s">
        <v>197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71" t="s">
        <v>198</v>
      </c>
    </row>
    <row r="109" spans="1:52" ht="15.75" x14ac:dyDescent="0.25">
      <c r="B109" s="1">
        <v>1</v>
      </c>
      <c r="C109" s="1">
        <f>IF(IFERROR(FIND($B109,$C$6:$AU$6),0)&gt;0,1,0)</f>
        <v>1</v>
      </c>
      <c r="D109" s="1">
        <f t="shared" ref="D109:AW112" si="7">IF(IFERROR(FIND($B109,$C$6:$AU$6),0)&gt;0,1,0)</f>
        <v>0</v>
      </c>
      <c r="E109" s="1">
        <f t="shared" si="7"/>
        <v>1</v>
      </c>
      <c r="F109" s="1">
        <f t="shared" si="7"/>
        <v>0</v>
      </c>
      <c r="G109" s="1">
        <f t="shared" si="7"/>
        <v>0</v>
      </c>
      <c r="H109" s="1">
        <f t="shared" si="7"/>
        <v>0</v>
      </c>
      <c r="I109" s="1">
        <f t="shared" si="7"/>
        <v>0</v>
      </c>
      <c r="J109" s="1">
        <f t="shared" si="7"/>
        <v>0</v>
      </c>
      <c r="K109" s="1">
        <f t="shared" si="7"/>
        <v>0</v>
      </c>
      <c r="L109" s="1">
        <f t="shared" si="7"/>
        <v>0</v>
      </c>
      <c r="M109" s="1">
        <f t="shared" si="7"/>
        <v>0</v>
      </c>
      <c r="N109" s="1">
        <f t="shared" si="7"/>
        <v>0</v>
      </c>
      <c r="O109" s="1">
        <f t="shared" si="7"/>
        <v>1</v>
      </c>
      <c r="P109" s="1">
        <f t="shared" si="7"/>
        <v>0</v>
      </c>
      <c r="Q109" s="1">
        <f t="shared" si="7"/>
        <v>1</v>
      </c>
      <c r="R109" s="1">
        <f t="shared" si="7"/>
        <v>0</v>
      </c>
      <c r="S109" s="1">
        <f t="shared" si="7"/>
        <v>0</v>
      </c>
      <c r="T109" s="1">
        <f t="shared" si="7"/>
        <v>1</v>
      </c>
      <c r="U109" s="1">
        <f t="shared" si="7"/>
        <v>0</v>
      </c>
      <c r="V109" s="1">
        <f t="shared" si="7"/>
        <v>1</v>
      </c>
      <c r="W109" s="1">
        <f t="shared" si="7"/>
        <v>0</v>
      </c>
      <c r="X109" s="1">
        <f t="shared" si="7"/>
        <v>0</v>
      </c>
      <c r="Y109" s="1">
        <f t="shared" si="7"/>
        <v>0</v>
      </c>
      <c r="Z109" s="1">
        <f t="shared" si="7"/>
        <v>0</v>
      </c>
      <c r="AA109" s="1">
        <f t="shared" si="7"/>
        <v>0</v>
      </c>
      <c r="AB109" s="1">
        <f t="shared" si="7"/>
        <v>0</v>
      </c>
      <c r="AC109" s="1">
        <f t="shared" si="7"/>
        <v>0</v>
      </c>
      <c r="AD109" s="1">
        <f t="shared" si="7"/>
        <v>1</v>
      </c>
      <c r="AE109" s="1">
        <f t="shared" si="7"/>
        <v>1</v>
      </c>
      <c r="AF109" s="1">
        <f t="shared" si="7"/>
        <v>0</v>
      </c>
      <c r="AG109" s="1">
        <f t="shared" si="7"/>
        <v>0</v>
      </c>
      <c r="AH109" s="1">
        <f t="shared" si="7"/>
        <v>0</v>
      </c>
      <c r="AI109" s="1">
        <f t="shared" si="7"/>
        <v>0</v>
      </c>
      <c r="AJ109" s="1">
        <f t="shared" si="7"/>
        <v>0</v>
      </c>
      <c r="AK109" s="1">
        <f t="shared" si="7"/>
        <v>0</v>
      </c>
      <c r="AL109" s="1">
        <f>IF(IFERROR(FIND($B109,$C$6:$AU$6),0)&gt;0,1,0)</f>
        <v>0</v>
      </c>
      <c r="AM109" s="1">
        <f t="shared" si="7"/>
        <v>0</v>
      </c>
      <c r="AN109" s="1">
        <f t="shared" si="7"/>
        <v>0</v>
      </c>
      <c r="AO109" s="1">
        <f t="shared" si="7"/>
        <v>0</v>
      </c>
      <c r="AP109" s="1">
        <f t="shared" si="7"/>
        <v>0</v>
      </c>
      <c r="AQ109" s="1">
        <f t="shared" si="7"/>
        <v>0</v>
      </c>
      <c r="AR109" s="1">
        <f t="shared" si="7"/>
        <v>0</v>
      </c>
      <c r="AS109" s="1">
        <f t="shared" si="7"/>
        <v>0</v>
      </c>
      <c r="AT109" s="1">
        <f t="shared" si="7"/>
        <v>0</v>
      </c>
      <c r="AU109" s="1">
        <f t="shared" si="7"/>
        <v>0</v>
      </c>
      <c r="AV109" s="1">
        <f t="shared" si="7"/>
        <v>0</v>
      </c>
      <c r="AW109" s="1">
        <f t="shared" si="7"/>
        <v>0</v>
      </c>
      <c r="AX109" s="71">
        <f>SUMIF(C109:AU109,"1",C$106:AU$106)/COUNTIF(C109:AU109,"1")</f>
        <v>66.804533209177947</v>
      </c>
      <c r="AY109" s="1">
        <f t="shared" ref="AY109" si="8">IF(IFERROR(FIND($B109,$C$6:$AU$6),0)&gt;0,1,0)</f>
        <v>0</v>
      </c>
    </row>
    <row r="110" spans="1:52" ht="15.75" x14ac:dyDescent="0.25">
      <c r="B110" s="1">
        <v>2</v>
      </c>
      <c r="C110" s="1">
        <f>IF(IFERROR(FIND($B110,$C$6:$AU$6),0)&gt;0,1,0)</f>
        <v>0</v>
      </c>
      <c r="D110" s="1">
        <f t="shared" si="7"/>
        <v>1</v>
      </c>
      <c r="E110" s="1">
        <f t="shared" si="7"/>
        <v>0</v>
      </c>
      <c r="F110" s="1">
        <f t="shared" si="7"/>
        <v>1</v>
      </c>
      <c r="G110" s="1">
        <f t="shared" si="7"/>
        <v>1</v>
      </c>
      <c r="H110" s="1">
        <f t="shared" si="7"/>
        <v>0</v>
      </c>
      <c r="I110" s="1">
        <f t="shared" si="7"/>
        <v>1</v>
      </c>
      <c r="J110" s="1">
        <f t="shared" si="7"/>
        <v>0</v>
      </c>
      <c r="K110" s="1">
        <f t="shared" si="7"/>
        <v>1</v>
      </c>
      <c r="L110" s="1">
        <f t="shared" si="7"/>
        <v>0</v>
      </c>
      <c r="M110" s="1">
        <f t="shared" si="7"/>
        <v>1</v>
      </c>
      <c r="N110" s="1">
        <f t="shared" si="7"/>
        <v>0</v>
      </c>
      <c r="O110" s="1">
        <f t="shared" si="7"/>
        <v>0</v>
      </c>
      <c r="P110" s="1">
        <f t="shared" si="7"/>
        <v>0</v>
      </c>
      <c r="Q110" s="1">
        <f t="shared" si="7"/>
        <v>0</v>
      </c>
      <c r="R110" s="1">
        <f t="shared" si="7"/>
        <v>0</v>
      </c>
      <c r="S110" s="1">
        <f t="shared" si="7"/>
        <v>0</v>
      </c>
      <c r="T110" s="1">
        <f t="shared" si="7"/>
        <v>0</v>
      </c>
      <c r="U110" s="1">
        <f t="shared" si="7"/>
        <v>1</v>
      </c>
      <c r="V110" s="1">
        <f t="shared" si="7"/>
        <v>0</v>
      </c>
      <c r="W110" s="1">
        <f t="shared" si="7"/>
        <v>1</v>
      </c>
      <c r="X110" s="1">
        <f t="shared" si="7"/>
        <v>1</v>
      </c>
      <c r="Y110" s="1">
        <f t="shared" si="7"/>
        <v>0</v>
      </c>
      <c r="Z110" s="1">
        <f t="shared" si="7"/>
        <v>1</v>
      </c>
      <c r="AA110" s="1">
        <f t="shared" si="7"/>
        <v>0</v>
      </c>
      <c r="AB110" s="1">
        <f t="shared" si="7"/>
        <v>1</v>
      </c>
      <c r="AC110" s="1">
        <f t="shared" si="7"/>
        <v>1</v>
      </c>
      <c r="AD110" s="1">
        <f t="shared" si="7"/>
        <v>0</v>
      </c>
      <c r="AE110" s="1">
        <f t="shared" si="7"/>
        <v>0</v>
      </c>
      <c r="AF110" s="1">
        <f t="shared" si="7"/>
        <v>0</v>
      </c>
      <c r="AG110" s="1">
        <f t="shared" si="7"/>
        <v>1</v>
      </c>
      <c r="AH110" s="1">
        <f t="shared" si="7"/>
        <v>0</v>
      </c>
      <c r="AI110" s="1">
        <f t="shared" si="7"/>
        <v>0</v>
      </c>
      <c r="AJ110" s="1">
        <f t="shared" si="7"/>
        <v>0</v>
      </c>
      <c r="AK110" s="1">
        <f t="shared" si="7"/>
        <v>0</v>
      </c>
      <c r="AL110" s="1">
        <f t="shared" si="7"/>
        <v>0</v>
      </c>
      <c r="AM110" s="1">
        <f t="shared" si="7"/>
        <v>0</v>
      </c>
      <c r="AN110" s="1">
        <f t="shared" si="7"/>
        <v>0</v>
      </c>
      <c r="AO110" s="1">
        <f t="shared" si="7"/>
        <v>1</v>
      </c>
      <c r="AP110" s="1">
        <f t="shared" si="7"/>
        <v>1</v>
      </c>
      <c r="AQ110" s="1">
        <f t="shared" si="7"/>
        <v>0</v>
      </c>
      <c r="AR110" s="1">
        <f t="shared" si="7"/>
        <v>0</v>
      </c>
      <c r="AS110" s="1">
        <f t="shared" si="7"/>
        <v>1</v>
      </c>
      <c r="AT110" s="1">
        <f t="shared" si="7"/>
        <v>1</v>
      </c>
      <c r="AU110" s="1">
        <f t="shared" si="7"/>
        <v>0</v>
      </c>
      <c r="AV110" s="1">
        <f t="shared" si="7"/>
        <v>0</v>
      </c>
      <c r="AW110" s="1">
        <f t="shared" si="7"/>
        <v>0</v>
      </c>
      <c r="AX110" s="71">
        <f t="shared" ref="AX110:AX112" si="9">SUMIF(C110:AU110,"1",C$106:AU$106)/COUNTIF(C110:AU110,"1")</f>
        <v>65.478051744475636</v>
      </c>
      <c r="AY110" s="1">
        <f t="shared" ref="AY110" si="10">IF(IFERROR(FIND($B110,$C$6:$AU$6),0)&gt;0,1,0)</f>
        <v>0</v>
      </c>
    </row>
    <row r="111" spans="1:52" ht="15.75" x14ac:dyDescent="0.25">
      <c r="B111" s="1">
        <v>3</v>
      </c>
      <c r="C111" s="1">
        <f t="shared" ref="C111:R112" si="11">IF(IFERROR(FIND($B111,$C$6:$AU$6),0)&gt;0,1,0)</f>
        <v>0</v>
      </c>
      <c r="D111" s="1">
        <f t="shared" si="11"/>
        <v>0</v>
      </c>
      <c r="E111" s="1">
        <f t="shared" si="11"/>
        <v>0</v>
      </c>
      <c r="F111" s="1">
        <f t="shared" si="11"/>
        <v>0</v>
      </c>
      <c r="G111" s="1">
        <f t="shared" si="11"/>
        <v>0</v>
      </c>
      <c r="H111" s="1">
        <f t="shared" si="11"/>
        <v>1</v>
      </c>
      <c r="I111" s="1">
        <f t="shared" si="11"/>
        <v>0</v>
      </c>
      <c r="J111" s="1">
        <f t="shared" si="11"/>
        <v>1</v>
      </c>
      <c r="K111" s="1">
        <f t="shared" si="11"/>
        <v>0</v>
      </c>
      <c r="L111" s="1">
        <f t="shared" si="11"/>
        <v>1</v>
      </c>
      <c r="M111" s="1">
        <f t="shared" si="11"/>
        <v>0</v>
      </c>
      <c r="N111" s="1">
        <f t="shared" si="11"/>
        <v>1</v>
      </c>
      <c r="O111" s="1">
        <f t="shared" si="11"/>
        <v>0</v>
      </c>
      <c r="P111" s="1">
        <f t="shared" si="11"/>
        <v>1</v>
      </c>
      <c r="Q111" s="1">
        <f t="shared" si="11"/>
        <v>0</v>
      </c>
      <c r="R111" s="1">
        <f t="shared" si="11"/>
        <v>1</v>
      </c>
      <c r="S111" s="1">
        <f t="shared" si="7"/>
        <v>0</v>
      </c>
      <c r="T111" s="1">
        <f t="shared" si="7"/>
        <v>0</v>
      </c>
      <c r="U111" s="1">
        <f t="shared" si="7"/>
        <v>0</v>
      </c>
      <c r="V111" s="1">
        <f t="shared" si="7"/>
        <v>0</v>
      </c>
      <c r="W111" s="1">
        <f t="shared" si="7"/>
        <v>0</v>
      </c>
      <c r="X111" s="1">
        <f t="shared" si="7"/>
        <v>0</v>
      </c>
      <c r="Y111" s="1">
        <f t="shared" si="7"/>
        <v>1</v>
      </c>
      <c r="Z111" s="1">
        <f t="shared" si="7"/>
        <v>0</v>
      </c>
      <c r="AA111" s="1">
        <f t="shared" si="7"/>
        <v>1</v>
      </c>
      <c r="AB111" s="1">
        <f t="shared" si="7"/>
        <v>1</v>
      </c>
      <c r="AC111" s="1">
        <f t="shared" si="7"/>
        <v>1</v>
      </c>
      <c r="AD111" s="1">
        <f t="shared" si="7"/>
        <v>1</v>
      </c>
      <c r="AE111" s="1">
        <f t="shared" si="7"/>
        <v>1</v>
      </c>
      <c r="AF111" s="1">
        <f t="shared" si="7"/>
        <v>0</v>
      </c>
      <c r="AG111" s="1">
        <f t="shared" si="7"/>
        <v>0</v>
      </c>
      <c r="AH111" s="1">
        <f t="shared" si="7"/>
        <v>1</v>
      </c>
      <c r="AI111" s="1">
        <f t="shared" si="7"/>
        <v>1</v>
      </c>
      <c r="AJ111" s="1">
        <f t="shared" si="7"/>
        <v>1</v>
      </c>
      <c r="AK111" s="1">
        <f t="shared" si="7"/>
        <v>1</v>
      </c>
      <c r="AL111" s="1">
        <f t="shared" si="7"/>
        <v>1</v>
      </c>
      <c r="AM111" s="1">
        <f t="shared" si="7"/>
        <v>1</v>
      </c>
      <c r="AN111" s="1">
        <f t="shared" si="7"/>
        <v>1</v>
      </c>
      <c r="AO111" s="1">
        <f t="shared" si="7"/>
        <v>0</v>
      </c>
      <c r="AP111" s="1">
        <f t="shared" si="7"/>
        <v>0</v>
      </c>
      <c r="AQ111" s="1">
        <f t="shared" si="7"/>
        <v>1</v>
      </c>
      <c r="AR111" s="1">
        <f t="shared" si="7"/>
        <v>1</v>
      </c>
      <c r="AS111" s="1">
        <f t="shared" si="7"/>
        <v>0</v>
      </c>
      <c r="AT111" s="1">
        <f t="shared" si="7"/>
        <v>0</v>
      </c>
      <c r="AU111" s="1">
        <f t="shared" si="7"/>
        <v>0</v>
      </c>
      <c r="AV111" s="1">
        <f t="shared" si="7"/>
        <v>0</v>
      </c>
      <c r="AW111" s="1">
        <f t="shared" si="7"/>
        <v>0</v>
      </c>
      <c r="AX111" s="71">
        <f t="shared" si="9"/>
        <v>65.619159361371885</v>
      </c>
    </row>
    <row r="112" spans="1:52" ht="15.75" x14ac:dyDescent="0.25">
      <c r="B112" s="1">
        <v>4</v>
      </c>
      <c r="C112" s="1">
        <f t="shared" si="11"/>
        <v>0</v>
      </c>
      <c r="D112" s="1">
        <f t="shared" si="11"/>
        <v>0</v>
      </c>
      <c r="E112" s="1">
        <f t="shared" si="11"/>
        <v>0</v>
      </c>
      <c r="F112" s="1">
        <f t="shared" si="11"/>
        <v>0</v>
      </c>
      <c r="G112" s="1">
        <f t="shared" si="11"/>
        <v>0</v>
      </c>
      <c r="H112" s="1">
        <f t="shared" si="11"/>
        <v>0</v>
      </c>
      <c r="I112" s="1">
        <f t="shared" si="11"/>
        <v>0</v>
      </c>
      <c r="J112" s="1">
        <f t="shared" si="11"/>
        <v>0</v>
      </c>
      <c r="K112" s="1">
        <f t="shared" si="11"/>
        <v>0</v>
      </c>
      <c r="L112" s="1">
        <f t="shared" si="11"/>
        <v>0</v>
      </c>
      <c r="M112" s="1">
        <f t="shared" si="11"/>
        <v>0</v>
      </c>
      <c r="N112" s="1">
        <f t="shared" si="11"/>
        <v>0</v>
      </c>
      <c r="O112" s="1">
        <f t="shared" si="11"/>
        <v>0</v>
      </c>
      <c r="P112" s="1">
        <f t="shared" si="11"/>
        <v>0</v>
      </c>
      <c r="Q112" s="1">
        <f t="shared" si="11"/>
        <v>0</v>
      </c>
      <c r="R112" s="1">
        <f t="shared" si="11"/>
        <v>0</v>
      </c>
      <c r="S112" s="1">
        <f t="shared" si="7"/>
        <v>0</v>
      </c>
      <c r="T112" s="1">
        <f t="shared" si="7"/>
        <v>0</v>
      </c>
      <c r="U112" s="1">
        <f t="shared" si="7"/>
        <v>0</v>
      </c>
      <c r="V112" s="1">
        <f t="shared" si="7"/>
        <v>0</v>
      </c>
      <c r="W112" s="1">
        <f t="shared" si="7"/>
        <v>0</v>
      </c>
      <c r="X112" s="1">
        <f t="shared" si="7"/>
        <v>0</v>
      </c>
      <c r="Y112" s="1">
        <f t="shared" si="7"/>
        <v>0</v>
      </c>
      <c r="Z112" s="1">
        <f t="shared" si="7"/>
        <v>0</v>
      </c>
      <c r="AA112" s="1">
        <f t="shared" si="7"/>
        <v>0</v>
      </c>
      <c r="AB112" s="1">
        <f t="shared" si="7"/>
        <v>0</v>
      </c>
      <c r="AC112" s="1">
        <f t="shared" si="7"/>
        <v>0</v>
      </c>
      <c r="AD112" s="1">
        <f t="shared" si="7"/>
        <v>0</v>
      </c>
      <c r="AE112" s="1">
        <f t="shared" si="7"/>
        <v>0</v>
      </c>
      <c r="AF112" s="1">
        <f t="shared" si="7"/>
        <v>0</v>
      </c>
      <c r="AG112" s="1">
        <f t="shared" si="7"/>
        <v>0</v>
      </c>
      <c r="AH112" s="1">
        <f t="shared" si="7"/>
        <v>0</v>
      </c>
      <c r="AI112" s="1">
        <f t="shared" si="7"/>
        <v>0</v>
      </c>
      <c r="AJ112" s="1">
        <f t="shared" si="7"/>
        <v>0</v>
      </c>
      <c r="AK112" s="1">
        <f t="shared" si="7"/>
        <v>0</v>
      </c>
      <c r="AL112" s="1">
        <f t="shared" si="7"/>
        <v>0</v>
      </c>
      <c r="AM112" s="1">
        <f t="shared" si="7"/>
        <v>0</v>
      </c>
      <c r="AN112" s="1">
        <f t="shared" si="7"/>
        <v>0</v>
      </c>
      <c r="AO112" s="1">
        <f t="shared" si="7"/>
        <v>0</v>
      </c>
      <c r="AP112" s="1">
        <f t="shared" si="7"/>
        <v>0</v>
      </c>
      <c r="AQ112" s="1">
        <f t="shared" si="7"/>
        <v>0</v>
      </c>
      <c r="AR112" s="1">
        <f t="shared" si="7"/>
        <v>0</v>
      </c>
      <c r="AS112" s="1">
        <f t="shared" si="7"/>
        <v>0</v>
      </c>
      <c r="AT112" s="1">
        <f t="shared" si="7"/>
        <v>0</v>
      </c>
      <c r="AU112" s="1">
        <f t="shared" si="7"/>
        <v>1</v>
      </c>
      <c r="AV112" s="1">
        <f t="shared" si="7"/>
        <v>0</v>
      </c>
      <c r="AW112" s="1">
        <f t="shared" si="7"/>
        <v>0</v>
      </c>
      <c r="AX112" s="71">
        <f t="shared" si="9"/>
        <v>76.315789473684205</v>
      </c>
    </row>
    <row r="113" spans="50:52" ht="15.75" x14ac:dyDescent="0.25">
      <c r="AX113" s="72">
        <f>AVERAGE(AX109:AX112)</f>
        <v>68.554383447177415</v>
      </c>
    </row>
    <row r="116" spans="50:52" x14ac:dyDescent="0.25">
      <c r="AZ116">
        <v>28</v>
      </c>
    </row>
    <row r="121" spans="50:52" x14ac:dyDescent="0.25">
      <c r="AZ121">
        <v>42</v>
      </c>
    </row>
    <row r="124" spans="50:52" x14ac:dyDescent="0.25">
      <c r="AZ124">
        <v>41</v>
      </c>
    </row>
    <row r="133" spans="52:52" x14ac:dyDescent="0.25">
      <c r="AZ133">
        <v>52</v>
      </c>
    </row>
  </sheetData>
  <mergeCells count="23">
    <mergeCell ref="AK5:AL5"/>
    <mergeCell ref="C5:D5"/>
    <mergeCell ref="O5:P5"/>
    <mergeCell ref="T5:U5"/>
    <mergeCell ref="X5:Y5"/>
    <mergeCell ref="Z5:AA5"/>
    <mergeCell ref="AG5:AH5"/>
    <mergeCell ref="B2:D2"/>
    <mergeCell ref="D4:S4"/>
    <mergeCell ref="U4:AF4"/>
    <mergeCell ref="AH4:AV4"/>
    <mergeCell ref="E5:F5"/>
    <mergeCell ref="G5:H5"/>
    <mergeCell ref="I5:J5"/>
    <mergeCell ref="K5:L5"/>
    <mergeCell ref="M5:N5"/>
    <mergeCell ref="Q5:R5"/>
    <mergeCell ref="V5:W5"/>
    <mergeCell ref="AI5:AJ5"/>
    <mergeCell ref="AS5:AT5"/>
    <mergeCell ref="AQ5:AR5"/>
    <mergeCell ref="AO5:AP5"/>
    <mergeCell ref="AM5:AN5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0"/>
  <sheetViews>
    <sheetView workbookViewId="0">
      <selection activeCell="H12" sqref="H12"/>
    </sheetView>
  </sheetViews>
  <sheetFormatPr defaultRowHeight="15" x14ac:dyDescent="0.25"/>
  <cols>
    <col min="3" max="3" width="53.140625" customWidth="1"/>
    <col min="4" max="4" width="24.5703125" customWidth="1"/>
    <col min="6" max="6" width="11" customWidth="1"/>
  </cols>
  <sheetData>
    <row r="1" spans="2:9" x14ac:dyDescent="0.25">
      <c r="B1" s="2"/>
      <c r="C1" s="87" t="s">
        <v>63</v>
      </c>
      <c r="D1" s="87"/>
      <c r="E1" s="87"/>
      <c r="F1" s="2"/>
      <c r="G1" s="2"/>
      <c r="H1" s="2"/>
      <c r="I1" s="2"/>
    </row>
    <row r="2" spans="2:9" x14ac:dyDescent="0.25">
      <c r="B2" s="2"/>
      <c r="C2" s="2"/>
      <c r="D2" s="2"/>
      <c r="E2" s="2"/>
      <c r="F2" s="2"/>
      <c r="G2" s="2"/>
      <c r="H2" s="2"/>
      <c r="I2" s="2"/>
    </row>
    <row r="3" spans="2:9" ht="15.75" x14ac:dyDescent="0.25">
      <c r="B3" s="88" t="s">
        <v>64</v>
      </c>
      <c r="C3" s="88"/>
      <c r="D3" s="2"/>
      <c r="E3" s="59" t="s">
        <v>65</v>
      </c>
      <c r="F3" s="59" t="s">
        <v>66</v>
      </c>
      <c r="G3" s="59" t="s">
        <v>67</v>
      </c>
      <c r="H3" s="60" t="s">
        <v>68</v>
      </c>
      <c r="I3" s="61" t="s">
        <v>19</v>
      </c>
    </row>
    <row r="4" spans="2:9" ht="45" x14ac:dyDescent="0.25">
      <c r="B4" s="34" t="s">
        <v>21</v>
      </c>
      <c r="C4" s="23" t="s">
        <v>94</v>
      </c>
      <c r="D4" s="2"/>
      <c r="E4" s="62" t="s">
        <v>69</v>
      </c>
      <c r="F4" s="62">
        <v>41</v>
      </c>
      <c r="G4" s="62">
        <v>58</v>
      </c>
      <c r="H4" s="10"/>
      <c r="I4" s="89">
        <f>((F4*3)+(F5*2)+(F6*1))/(71*3)</f>
        <v>0.84976525821596249</v>
      </c>
    </row>
    <row r="5" spans="2:9" ht="30" x14ac:dyDescent="0.25">
      <c r="B5" s="34" t="s">
        <v>22</v>
      </c>
      <c r="C5" s="23" t="s">
        <v>93</v>
      </c>
      <c r="D5" s="2"/>
      <c r="E5" s="62" t="s">
        <v>70</v>
      </c>
      <c r="F5" s="62">
        <v>28</v>
      </c>
      <c r="G5" s="62">
        <v>39</v>
      </c>
      <c r="H5" s="10"/>
      <c r="I5" s="89"/>
    </row>
    <row r="6" spans="2:9" ht="30" x14ac:dyDescent="0.25">
      <c r="B6" s="34" t="s">
        <v>23</v>
      </c>
      <c r="C6" s="23" t="s">
        <v>95</v>
      </c>
      <c r="D6" s="2"/>
      <c r="E6" s="62" t="s">
        <v>148</v>
      </c>
      <c r="F6" s="62">
        <v>2</v>
      </c>
      <c r="G6" s="62">
        <v>3</v>
      </c>
      <c r="H6" s="10"/>
      <c r="I6" s="89"/>
    </row>
    <row r="7" spans="2:9" ht="30" x14ac:dyDescent="0.25">
      <c r="B7" s="34" t="s">
        <v>24</v>
      </c>
      <c r="C7" s="23" t="s">
        <v>90</v>
      </c>
      <c r="D7" s="2"/>
      <c r="E7" s="92" t="s">
        <v>71</v>
      </c>
      <c r="F7" s="92"/>
      <c r="G7" s="93"/>
      <c r="H7" s="94"/>
      <c r="I7" s="89"/>
    </row>
    <row r="8" spans="2:9" x14ac:dyDescent="0.25">
      <c r="B8" s="58"/>
      <c r="C8" s="58"/>
      <c r="D8" s="2"/>
      <c r="E8" s="92"/>
      <c r="F8" s="92"/>
      <c r="G8" s="93"/>
      <c r="H8" s="94"/>
      <c r="I8" s="89"/>
    </row>
    <row r="9" spans="2:9" x14ac:dyDescent="0.25">
      <c r="B9" s="58"/>
      <c r="C9" s="58"/>
      <c r="D9" s="2"/>
      <c r="E9" s="2"/>
      <c r="F9" s="2"/>
      <c r="G9" s="2"/>
      <c r="H9" s="2"/>
      <c r="I9" s="2">
        <v>85</v>
      </c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ht="15.75" x14ac:dyDescent="0.25">
      <c r="B12" s="2"/>
      <c r="C12" s="90" t="s">
        <v>72</v>
      </c>
      <c r="D12" s="90"/>
      <c r="E12" s="2"/>
      <c r="F12" s="2"/>
      <c r="G12" s="2"/>
      <c r="H12" s="2"/>
      <c r="I12" s="2"/>
    </row>
    <row r="13" spans="2:9" ht="14.45" customHeight="1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35"/>
      <c r="G16" s="2"/>
      <c r="H16" s="2"/>
      <c r="I16" s="2"/>
    </row>
    <row r="17" spans="2:9" x14ac:dyDescent="0.25">
      <c r="B17" s="2"/>
      <c r="C17" s="2"/>
      <c r="D17" s="2"/>
      <c r="E17" s="2"/>
      <c r="F17" s="2"/>
      <c r="G17" s="2"/>
      <c r="H17" s="2"/>
      <c r="I17" s="2"/>
    </row>
    <row r="18" spans="2:9" x14ac:dyDescent="0.25">
      <c r="B18" s="2"/>
      <c r="C18" s="91"/>
      <c r="D18" s="91"/>
      <c r="E18" s="2"/>
      <c r="F18" s="2"/>
      <c r="G18" s="2"/>
      <c r="H18" s="2"/>
      <c r="I18" s="2"/>
    </row>
    <row r="19" spans="2:9" ht="14.45" customHeight="1" x14ac:dyDescent="0.25">
      <c r="B19" s="2"/>
      <c r="C19" s="2"/>
      <c r="D19" s="2"/>
      <c r="E19" s="2"/>
      <c r="F19" s="2"/>
      <c r="G19" s="2"/>
      <c r="H19" s="2"/>
      <c r="I19" s="2"/>
    </row>
    <row r="20" spans="2:9" ht="15.75" x14ac:dyDescent="0.25">
      <c r="B20" s="2"/>
      <c r="C20" s="33"/>
      <c r="D20" s="2"/>
      <c r="E20" s="2"/>
      <c r="F20" s="2"/>
      <c r="G20" s="2"/>
      <c r="H20" s="2"/>
      <c r="I20" s="2"/>
    </row>
  </sheetData>
  <mergeCells count="9">
    <mergeCell ref="C1:E1"/>
    <mergeCell ref="B3:C3"/>
    <mergeCell ref="I4:I8"/>
    <mergeCell ref="C12:D12"/>
    <mergeCell ref="C18:D18"/>
    <mergeCell ref="E7:E8"/>
    <mergeCell ref="F7:F8"/>
    <mergeCell ref="G7:G8"/>
    <mergeCell ref="H7:H8"/>
  </mergeCells>
  <phoneticPr fontId="1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23"/>
  <sheetViews>
    <sheetView workbookViewId="0">
      <selection activeCell="K22" sqref="K22"/>
    </sheetView>
  </sheetViews>
  <sheetFormatPr defaultRowHeight="15" x14ac:dyDescent="0.25"/>
  <cols>
    <col min="2" max="2" width="18.140625" customWidth="1"/>
    <col min="5" max="5" width="12.5703125" customWidth="1"/>
    <col min="10" max="10" width="22.7109375" customWidth="1"/>
    <col min="18" max="18" width="18.7109375" customWidth="1"/>
  </cols>
  <sheetData>
    <row r="2" spans="2:14" x14ac:dyDescent="0.25">
      <c r="B2" s="104" t="s">
        <v>51</v>
      </c>
      <c r="C2" s="105"/>
      <c r="D2" s="105"/>
      <c r="E2" s="105"/>
      <c r="F2" s="106"/>
      <c r="J2" s="101" t="s">
        <v>54</v>
      </c>
      <c r="K2" s="102"/>
      <c r="L2" s="102"/>
      <c r="M2" s="102"/>
      <c r="N2" s="103"/>
    </row>
    <row r="3" spans="2:14" x14ac:dyDescent="0.25">
      <c r="B3" s="1" t="s">
        <v>48</v>
      </c>
      <c r="C3" s="1" t="s">
        <v>21</v>
      </c>
      <c r="D3" s="1" t="s">
        <v>22</v>
      </c>
      <c r="E3" s="1" t="s">
        <v>23</v>
      </c>
      <c r="F3" s="1" t="s">
        <v>24</v>
      </c>
      <c r="J3" s="1" t="s">
        <v>47</v>
      </c>
      <c r="K3" s="1" t="s">
        <v>21</v>
      </c>
      <c r="L3" s="1" t="s">
        <v>22</v>
      </c>
      <c r="M3" s="1" t="s">
        <v>23</v>
      </c>
      <c r="N3" s="1" t="s">
        <v>24</v>
      </c>
    </row>
    <row r="4" spans="2:14" x14ac:dyDescent="0.25">
      <c r="B4" s="1" t="s">
        <v>53</v>
      </c>
      <c r="C4" s="1">
        <f>'CIE+SEE'!AX113</f>
        <v>68.554383447177415</v>
      </c>
      <c r="D4" s="1">
        <f>'CIE+SEE'!AX110</f>
        <v>65.478051744475636</v>
      </c>
      <c r="E4" s="1">
        <f>'CIE+SEE'!AX111</f>
        <v>65.619159361371885</v>
      </c>
      <c r="F4" s="1">
        <f>'CIE+SEE'!AX112</f>
        <v>76.315789473684205</v>
      </c>
      <c r="J4" s="1" t="s">
        <v>54</v>
      </c>
      <c r="K4" s="1">
        <f>'CIE+SEE'!$AZ$106</f>
        <v>36.144578313253014</v>
      </c>
      <c r="L4" s="1">
        <f>'CIE+SEE'!$AZ$106</f>
        <v>36.144578313253014</v>
      </c>
      <c r="M4" s="1">
        <f>'CIE+SEE'!$AZ$106</f>
        <v>36.144578313253014</v>
      </c>
      <c r="N4" s="1">
        <f>'CIE+SEE'!$AZ$106</f>
        <v>36.144578313253014</v>
      </c>
    </row>
    <row r="5" spans="2:14" x14ac:dyDescent="0.25">
      <c r="B5" s="24" t="s">
        <v>1</v>
      </c>
      <c r="C5" s="1">
        <f>'CIE+SEE'!AX106</f>
        <v>97.849462365591393</v>
      </c>
      <c r="D5" s="1">
        <f>'CIE+SEE'!AX106</f>
        <v>97.849462365591393</v>
      </c>
      <c r="E5" s="1">
        <f>'CIE+SEE'!AX106</f>
        <v>97.849462365591393</v>
      </c>
      <c r="F5" s="1">
        <f>'CIE+SEE'!AX106</f>
        <v>97.849462365591393</v>
      </c>
    </row>
    <row r="6" spans="2:14" x14ac:dyDescent="0.25">
      <c r="B6" s="25" t="s">
        <v>51</v>
      </c>
      <c r="C6" s="1">
        <f>SUM(C4:C5)/COUNTIF(C4:C5,"&lt;&gt;")</f>
        <v>83.201922906384397</v>
      </c>
      <c r="D6" s="1">
        <f>SUM(D4:D5)/COUNTIF(D4:D5,"&lt;&gt;")</f>
        <v>81.663757055033514</v>
      </c>
      <c r="E6" s="1">
        <f>SUM(E4:E5)/COUNTIF(E4:E5,"&lt;&gt;")</f>
        <v>81.734310863481639</v>
      </c>
      <c r="F6" s="1">
        <f>SUM(F4:F5)/COUNTIF(F4:F5,"&lt;&gt;")</f>
        <v>87.082625919637792</v>
      </c>
    </row>
    <row r="11" spans="2:14" x14ac:dyDescent="0.25">
      <c r="B11" s="98" t="s">
        <v>49</v>
      </c>
      <c r="C11" s="99"/>
      <c r="D11" s="99"/>
      <c r="E11" s="99"/>
      <c r="F11" s="100"/>
      <c r="J11" s="97" t="s">
        <v>58</v>
      </c>
      <c r="K11" s="97"/>
      <c r="L11" s="97"/>
      <c r="M11" s="97"/>
      <c r="N11" s="97"/>
    </row>
    <row r="12" spans="2:14" x14ac:dyDescent="0.25">
      <c r="B12" s="1" t="s">
        <v>48</v>
      </c>
      <c r="C12" s="1" t="s">
        <v>21</v>
      </c>
      <c r="D12" s="1" t="s">
        <v>22</v>
      </c>
      <c r="E12" s="1" t="s">
        <v>23</v>
      </c>
      <c r="F12" s="1" t="s">
        <v>24</v>
      </c>
      <c r="J12" s="1" t="s">
        <v>48</v>
      </c>
      <c r="K12" s="1" t="s">
        <v>21</v>
      </c>
      <c r="L12" s="1" t="s">
        <v>22</v>
      </c>
      <c r="M12" s="1" t="s">
        <v>23</v>
      </c>
      <c r="N12" s="1" t="s">
        <v>24</v>
      </c>
    </row>
    <row r="13" spans="2:14" x14ac:dyDescent="0.25">
      <c r="B13" s="1" t="s">
        <v>50</v>
      </c>
      <c r="C13" s="1">
        <f>C6</f>
        <v>83.201922906384397</v>
      </c>
      <c r="D13" s="1">
        <f t="shared" ref="D13:F13" si="0">D6</f>
        <v>81.663757055033514</v>
      </c>
      <c r="E13" s="1">
        <f t="shared" si="0"/>
        <v>81.734310863481639</v>
      </c>
      <c r="F13" s="1">
        <f t="shared" si="0"/>
        <v>87.082625919637792</v>
      </c>
      <c r="J13" s="1" t="s">
        <v>56</v>
      </c>
      <c r="K13" s="1">
        <v>85</v>
      </c>
      <c r="L13" s="1">
        <v>85</v>
      </c>
      <c r="M13" s="1">
        <v>85</v>
      </c>
      <c r="N13" s="1">
        <v>85</v>
      </c>
    </row>
    <row r="14" spans="2:14" x14ac:dyDescent="0.25">
      <c r="B14" s="1" t="s">
        <v>29</v>
      </c>
      <c r="C14" s="1">
        <f>K4</f>
        <v>36.144578313253014</v>
      </c>
      <c r="D14" s="1">
        <f>L4</f>
        <v>36.144578313253014</v>
      </c>
      <c r="E14" s="1">
        <f>M4</f>
        <v>36.144578313253014</v>
      </c>
      <c r="F14" s="1">
        <f>N4</f>
        <v>36.144578313253014</v>
      </c>
    </row>
    <row r="15" spans="2:14" x14ac:dyDescent="0.25">
      <c r="B15" s="24" t="s">
        <v>57</v>
      </c>
      <c r="C15" s="1">
        <f>0.6*C13+0.4*C14</f>
        <v>64.378985069131843</v>
      </c>
      <c r="D15" s="1">
        <f t="shared" ref="D15:F15" si="1">0.6*D13+0.4*D14</f>
        <v>63.456085558321313</v>
      </c>
      <c r="E15" s="1">
        <f t="shared" si="1"/>
        <v>63.498417843390186</v>
      </c>
      <c r="F15" s="1">
        <f t="shared" si="1"/>
        <v>66.707406877083884</v>
      </c>
      <c r="J15" s="41"/>
    </row>
    <row r="19" spans="5:9" x14ac:dyDescent="0.25">
      <c r="E19" s="95" t="s">
        <v>59</v>
      </c>
      <c r="F19" s="96"/>
      <c r="G19" s="96"/>
      <c r="H19" s="96"/>
      <c r="I19" s="96"/>
    </row>
    <row r="20" spans="5:9" x14ac:dyDescent="0.25">
      <c r="E20" s="1" t="s">
        <v>48</v>
      </c>
      <c r="F20" s="1" t="s">
        <v>21</v>
      </c>
      <c r="G20" s="1" t="s">
        <v>22</v>
      </c>
      <c r="H20" s="1" t="s">
        <v>23</v>
      </c>
      <c r="I20" s="1" t="s">
        <v>24</v>
      </c>
    </row>
    <row r="21" spans="5:9" x14ac:dyDescent="0.25">
      <c r="E21" s="1" t="s">
        <v>55</v>
      </c>
      <c r="F21" s="1">
        <f>C15</f>
        <v>64.378985069131843</v>
      </c>
      <c r="G21" s="1">
        <f t="shared" ref="G21:I21" si="2">D15</f>
        <v>63.456085558321313</v>
      </c>
      <c r="H21" s="1">
        <f t="shared" si="2"/>
        <v>63.498417843390186</v>
      </c>
      <c r="I21" s="1">
        <f t="shared" si="2"/>
        <v>66.707406877083884</v>
      </c>
    </row>
    <row r="22" spans="5:9" x14ac:dyDescent="0.25">
      <c r="E22" s="1" t="s">
        <v>73</v>
      </c>
      <c r="F22" s="1">
        <f>K13</f>
        <v>85</v>
      </c>
      <c r="G22" s="1">
        <f t="shared" ref="G22:I22" si="3">L13</f>
        <v>85</v>
      </c>
      <c r="H22" s="1">
        <f t="shared" si="3"/>
        <v>85</v>
      </c>
      <c r="I22" s="1">
        <f t="shared" si="3"/>
        <v>85</v>
      </c>
    </row>
    <row r="23" spans="5:9" ht="45" x14ac:dyDescent="0.25">
      <c r="E23" s="24" t="s">
        <v>79</v>
      </c>
      <c r="F23" s="1">
        <f>(F21*0.9)+(F22*0.1)</f>
        <v>66.441086562218658</v>
      </c>
      <c r="G23" s="1">
        <f>(G21*0.9)+(G22*0.1)</f>
        <v>65.610477002489176</v>
      </c>
      <c r="H23" s="1">
        <f>(H21*0.9)+(H22*0.1)</f>
        <v>65.648576059051166</v>
      </c>
      <c r="I23" s="1">
        <f>(I21*0.9)+(I22*0.1)</f>
        <v>68.536666189375495</v>
      </c>
    </row>
  </sheetData>
  <mergeCells count="5">
    <mergeCell ref="J11:N11"/>
    <mergeCell ref="B11:F11"/>
    <mergeCell ref="J2:N2"/>
    <mergeCell ref="B2:F2"/>
    <mergeCell ref="E19:I19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33"/>
  <sheetViews>
    <sheetView tabSelected="1" workbookViewId="0">
      <selection activeCell="G19" sqref="G19"/>
    </sheetView>
  </sheetViews>
  <sheetFormatPr defaultRowHeight="15" x14ac:dyDescent="0.25"/>
  <cols>
    <col min="1" max="1" width="19.140625" customWidth="1"/>
    <col min="2" max="2" width="9" customWidth="1"/>
    <col min="3" max="3" width="6.7109375" customWidth="1"/>
    <col min="4" max="4" width="7.7109375" customWidth="1"/>
    <col min="5" max="5" width="13.28515625" bestFit="1" customWidth="1"/>
    <col min="6" max="6" width="12" bestFit="1" customWidth="1"/>
    <col min="7" max="7" width="9.140625" customWidth="1"/>
    <col min="8" max="8" width="9.42578125" customWidth="1"/>
    <col min="9" max="9" width="7.7109375" bestFit="1" customWidth="1"/>
    <col min="10" max="11" width="13.28515625" bestFit="1" customWidth="1"/>
    <col min="12" max="13" width="7.7109375" bestFit="1" customWidth="1"/>
    <col min="14" max="14" width="11.7109375" bestFit="1" customWidth="1"/>
    <col min="15" max="15" width="5.5703125" bestFit="1" customWidth="1"/>
    <col min="16" max="16" width="5" bestFit="1" customWidth="1"/>
    <col min="18" max="18" width="22.28515625" customWidth="1"/>
  </cols>
  <sheetData>
    <row r="3" spans="1:20" ht="15.75" x14ac:dyDescent="0.25">
      <c r="B3" s="1" t="s">
        <v>48</v>
      </c>
      <c r="C3" s="73" t="s">
        <v>32</v>
      </c>
      <c r="D3" s="73" t="s">
        <v>33</v>
      </c>
      <c r="E3" s="73" t="s">
        <v>34</v>
      </c>
      <c r="F3" s="73" t="s">
        <v>35</v>
      </c>
      <c r="G3" s="73" t="s">
        <v>36</v>
      </c>
      <c r="H3" s="73" t="s">
        <v>37</v>
      </c>
      <c r="I3" s="73" t="s">
        <v>38</v>
      </c>
      <c r="J3" s="73" t="s">
        <v>39</v>
      </c>
      <c r="K3" s="73" t="s">
        <v>40</v>
      </c>
      <c r="L3" s="73" t="s">
        <v>41</v>
      </c>
      <c r="M3" s="73" t="s">
        <v>42</v>
      </c>
      <c r="N3" s="73" t="s">
        <v>43</v>
      </c>
      <c r="O3" s="73" t="s">
        <v>44</v>
      </c>
      <c r="P3" s="73" t="s">
        <v>45</v>
      </c>
      <c r="R3" s="73" t="s">
        <v>62</v>
      </c>
      <c r="S3" s="73" t="s">
        <v>74</v>
      </c>
      <c r="T3" s="73" t="s">
        <v>67</v>
      </c>
    </row>
    <row r="4" spans="1:20" ht="15" customHeight="1" x14ac:dyDescent="0.25">
      <c r="B4" s="1" t="s">
        <v>21</v>
      </c>
      <c r="C4" s="53">
        <v>3</v>
      </c>
      <c r="D4" s="53"/>
      <c r="E4" s="53"/>
      <c r="F4" s="53"/>
      <c r="G4" s="54"/>
      <c r="H4" s="53"/>
      <c r="I4" s="53"/>
      <c r="J4" s="53"/>
      <c r="K4" s="54"/>
      <c r="L4" s="53"/>
      <c r="M4" s="37"/>
      <c r="N4" s="37"/>
      <c r="O4" s="37"/>
      <c r="P4" s="1"/>
      <c r="R4" s="26" t="s">
        <v>21</v>
      </c>
      <c r="S4" s="26">
        <f>T4/100*3</f>
        <v>1.9854758095238094</v>
      </c>
      <c r="T4">
        <f>'[1]CO-Attainment'!F24</f>
        <v>66.18252698412698</v>
      </c>
    </row>
    <row r="5" spans="1:20" ht="15" customHeight="1" x14ac:dyDescent="0.25">
      <c r="B5" s="1" t="s">
        <v>22</v>
      </c>
      <c r="C5" s="53"/>
      <c r="D5" s="53">
        <v>3</v>
      </c>
      <c r="E5" s="53"/>
      <c r="F5" s="53">
        <v>2</v>
      </c>
      <c r="G5" s="54"/>
      <c r="H5" s="53"/>
      <c r="I5" s="53"/>
      <c r="J5" s="53"/>
      <c r="K5" s="54"/>
      <c r="L5" s="53"/>
      <c r="M5" s="37"/>
      <c r="N5" s="37"/>
      <c r="O5" s="37"/>
      <c r="P5" s="1"/>
      <c r="R5" s="26" t="s">
        <v>22</v>
      </c>
      <c r="S5" s="26">
        <f t="shared" ref="S5:S7" si="0">T5/100*3</f>
        <v>2.0404187326007328</v>
      </c>
      <c r="T5">
        <f>'[1]CO-Attainment'!G24</f>
        <v>68.013957753357772</v>
      </c>
    </row>
    <row r="6" spans="1:20" ht="15" customHeight="1" x14ac:dyDescent="0.25">
      <c r="B6" s="1" t="s">
        <v>23</v>
      </c>
      <c r="C6" s="53"/>
      <c r="D6" s="53"/>
      <c r="E6" s="53">
        <v>3</v>
      </c>
      <c r="F6" s="53">
        <v>2</v>
      </c>
      <c r="G6" s="54"/>
      <c r="H6" s="53"/>
      <c r="I6" s="53"/>
      <c r="J6" s="53"/>
      <c r="K6" s="54"/>
      <c r="L6" s="53"/>
      <c r="M6" s="37"/>
      <c r="N6" s="37"/>
      <c r="O6" s="37"/>
      <c r="P6" s="1"/>
      <c r="R6" s="26" t="s">
        <v>23</v>
      </c>
      <c r="S6" s="26">
        <f t="shared" si="0"/>
        <v>1.576286952380952</v>
      </c>
      <c r="T6">
        <f>'[1]CO-Attainment'!H24</f>
        <v>52.542898412698406</v>
      </c>
    </row>
    <row r="7" spans="1:20" ht="15" customHeight="1" x14ac:dyDescent="0.25">
      <c r="B7" s="1" t="s">
        <v>24</v>
      </c>
      <c r="C7" s="53"/>
      <c r="D7" s="53"/>
      <c r="E7" s="53"/>
      <c r="F7" s="53">
        <v>2</v>
      </c>
      <c r="G7" s="54">
        <v>2</v>
      </c>
      <c r="H7" s="53"/>
      <c r="I7" s="53"/>
      <c r="J7" s="53"/>
      <c r="K7" s="54">
        <v>1</v>
      </c>
      <c r="L7" s="53">
        <v>1</v>
      </c>
      <c r="M7" s="37"/>
      <c r="N7" s="37"/>
      <c r="O7" s="37">
        <v>1</v>
      </c>
      <c r="P7" s="1">
        <v>1</v>
      </c>
      <c r="R7" s="26" t="s">
        <v>24</v>
      </c>
      <c r="S7" s="26">
        <f t="shared" si="0"/>
        <v>2.1332501845238099</v>
      </c>
      <c r="T7">
        <f>'[1]CO-Attainment'!I24</f>
        <v>71.108339484127001</v>
      </c>
    </row>
    <row r="9" spans="1:20" x14ac:dyDescent="0.25">
      <c r="C9">
        <f t="shared" ref="C9:P9" si="1">IFERROR(((SUMPRODUCT(C4:C7,$T4:$T7)/100)/COUNTIF(C4:C7,"&lt;&gt;")),"-")</f>
        <v>1.9854758095238094</v>
      </c>
      <c r="D9">
        <f t="shared" si="1"/>
        <v>2.0404187326007333</v>
      </c>
      <c r="E9">
        <f t="shared" si="1"/>
        <v>1.5762869523809522</v>
      </c>
      <c r="F9">
        <f t="shared" si="1"/>
        <v>1.2777679710012213</v>
      </c>
      <c r="G9">
        <f t="shared" si="1"/>
        <v>1.4221667896825401</v>
      </c>
      <c r="H9" t="str">
        <f t="shared" si="1"/>
        <v>-</v>
      </c>
      <c r="I9" t="str">
        <f t="shared" si="1"/>
        <v>-</v>
      </c>
      <c r="J9" t="str">
        <f t="shared" si="1"/>
        <v>-</v>
      </c>
      <c r="K9">
        <f t="shared" si="1"/>
        <v>0.71108339484127003</v>
      </c>
      <c r="L9">
        <f t="shared" si="1"/>
        <v>0.71108339484127003</v>
      </c>
      <c r="M9" t="str">
        <f t="shared" si="1"/>
        <v>-</v>
      </c>
      <c r="N9" t="str">
        <f t="shared" si="1"/>
        <v>-</v>
      </c>
      <c r="O9">
        <f t="shared" si="1"/>
        <v>0.71108339484127003</v>
      </c>
      <c r="P9">
        <f t="shared" si="1"/>
        <v>0.71108339484127003</v>
      </c>
      <c r="S9" s="27"/>
    </row>
    <row r="10" spans="1:20" x14ac:dyDescent="0.25">
      <c r="A10" t="s">
        <v>202</v>
      </c>
      <c r="C10">
        <f t="shared" ref="C10:P10" si="2">IFERROR(SUMPRODUCT((C4:C7&lt;&gt;" ")*($T4:$T7)*(C4:C7))/(3*COUNTIF(C4:C7,"&lt;&gt;")),"-")</f>
        <v>66.18252698412698</v>
      </c>
      <c r="D10">
        <f t="shared" si="2"/>
        <v>68.013957753357772</v>
      </c>
      <c r="E10">
        <f t="shared" si="2"/>
        <v>52.542898412698406</v>
      </c>
      <c r="F10">
        <f t="shared" si="2"/>
        <v>42.592265700040713</v>
      </c>
      <c r="G10">
        <f t="shared" si="2"/>
        <v>47.405559656084669</v>
      </c>
      <c r="H10" t="str">
        <f t="shared" si="2"/>
        <v>-</v>
      </c>
      <c r="I10" t="str">
        <f t="shared" si="2"/>
        <v>-</v>
      </c>
      <c r="J10" t="str">
        <f t="shared" si="2"/>
        <v>-</v>
      </c>
      <c r="K10">
        <f t="shared" si="2"/>
        <v>23.702779828042335</v>
      </c>
      <c r="L10">
        <f t="shared" si="2"/>
        <v>23.702779828042335</v>
      </c>
      <c r="M10" t="str">
        <f t="shared" si="2"/>
        <v>-</v>
      </c>
      <c r="N10" t="str">
        <f t="shared" si="2"/>
        <v>-</v>
      </c>
      <c r="O10">
        <f t="shared" si="2"/>
        <v>23.702779828042335</v>
      </c>
      <c r="P10">
        <f t="shared" si="2"/>
        <v>23.702779828042335</v>
      </c>
      <c r="S10" t="s">
        <v>203</v>
      </c>
    </row>
    <row r="12" spans="1:20" x14ac:dyDescent="0.25">
      <c r="A12" t="s">
        <v>202</v>
      </c>
      <c r="C12">
        <f>C9*100/3</f>
        <v>66.18252698412698</v>
      </c>
      <c r="D12">
        <f t="shared" ref="D12:P12" si="3">D9*100/3</f>
        <v>68.013957753357772</v>
      </c>
      <c r="E12">
        <f t="shared" si="3"/>
        <v>52.542898412698406</v>
      </c>
      <c r="F12">
        <f t="shared" si="3"/>
        <v>42.592265700040706</v>
      </c>
      <c r="G12">
        <f t="shared" si="3"/>
        <v>47.405559656084669</v>
      </c>
      <c r="H12" t="e">
        <f t="shared" si="3"/>
        <v>#VALUE!</v>
      </c>
      <c r="I12" t="e">
        <f t="shared" si="3"/>
        <v>#VALUE!</v>
      </c>
      <c r="J12" t="e">
        <f t="shared" si="3"/>
        <v>#VALUE!</v>
      </c>
      <c r="K12">
        <f t="shared" si="3"/>
        <v>23.702779828042335</v>
      </c>
      <c r="L12">
        <f t="shared" si="3"/>
        <v>23.702779828042335</v>
      </c>
      <c r="M12" t="e">
        <f t="shared" si="3"/>
        <v>#VALUE!</v>
      </c>
      <c r="N12" t="e">
        <f t="shared" si="3"/>
        <v>#VALUE!</v>
      </c>
      <c r="O12">
        <f t="shared" si="3"/>
        <v>23.702779828042335</v>
      </c>
      <c r="P12">
        <f t="shared" si="3"/>
        <v>23.702779828042335</v>
      </c>
    </row>
    <row r="15" spans="1:20" x14ac:dyDescent="0.25">
      <c r="B15" s="36" t="s">
        <v>77</v>
      </c>
      <c r="C15" s="36"/>
      <c r="D15" s="36"/>
      <c r="E15" s="36"/>
      <c r="F15" s="36"/>
      <c r="G15" s="36"/>
      <c r="H15" s="36"/>
      <c r="I15" s="36"/>
    </row>
    <row r="16" spans="1:20" x14ac:dyDescent="0.25">
      <c r="B16" t="s">
        <v>75</v>
      </c>
    </row>
    <row r="17" spans="1:15" x14ac:dyDescent="0.25">
      <c r="B17" t="s">
        <v>80</v>
      </c>
    </row>
    <row r="18" spans="1:15" x14ac:dyDescent="0.25">
      <c r="B18" t="s">
        <v>76</v>
      </c>
    </row>
    <row r="20" spans="1:15" x14ac:dyDescent="0.25">
      <c r="A20" s="74"/>
      <c r="B20" t="s">
        <v>81</v>
      </c>
      <c r="N20" s="75"/>
      <c r="O20" s="75"/>
    </row>
    <row r="26" spans="1:15" x14ac:dyDescent="0.25">
      <c r="A26" s="107" t="s">
        <v>82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</row>
    <row r="27" spans="1:15" x14ac:dyDescent="0.25">
      <c r="A27" s="1"/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</row>
    <row r="28" spans="1:15" ht="15.75" x14ac:dyDescent="0.25">
      <c r="A28" s="1" t="s">
        <v>21</v>
      </c>
      <c r="B28" s="108">
        <f>C4*(T4/100)</f>
        <v>1.9854758095238094</v>
      </c>
      <c r="C28" s="108"/>
      <c r="D28" s="108"/>
      <c r="E28" s="108"/>
      <c r="F28" s="109"/>
      <c r="G28" s="108"/>
      <c r="H28" s="108"/>
      <c r="I28" s="108"/>
      <c r="J28" s="109"/>
      <c r="K28" s="108"/>
      <c r="L28" s="110"/>
      <c r="M28" s="110"/>
      <c r="N28" s="110"/>
      <c r="O28" s="111"/>
    </row>
    <row r="29" spans="1:15" ht="15.75" x14ac:dyDescent="0.25">
      <c r="A29" s="1" t="s">
        <v>22</v>
      </c>
      <c r="B29" s="108"/>
      <c r="C29" s="108">
        <f>D5*(T5/100)</f>
        <v>2.0404187326007328</v>
      </c>
      <c r="D29" s="108"/>
      <c r="E29" s="108">
        <f>F5*(T5/100)</f>
        <v>1.3602791550671554</v>
      </c>
      <c r="F29" s="109"/>
      <c r="G29" s="108"/>
      <c r="H29" s="108"/>
      <c r="I29" s="108"/>
      <c r="J29" s="109"/>
      <c r="K29" s="108"/>
      <c r="L29" s="110"/>
      <c r="M29" s="110"/>
      <c r="N29" s="110"/>
      <c r="O29" s="111"/>
    </row>
    <row r="30" spans="1:15" ht="15.75" x14ac:dyDescent="0.25">
      <c r="A30" s="1" t="s">
        <v>23</v>
      </c>
      <c r="B30" s="108"/>
      <c r="C30" s="108"/>
      <c r="D30" s="108">
        <f>E6*(T6/100)</f>
        <v>1.576286952380952</v>
      </c>
      <c r="E30" s="108">
        <f>F6*(T6/100)</f>
        <v>1.050857968253968</v>
      </c>
      <c r="F30" s="109"/>
      <c r="G30" s="108"/>
      <c r="H30" s="108"/>
      <c r="I30" s="108"/>
      <c r="J30" s="109"/>
      <c r="K30" s="108"/>
      <c r="L30" s="110"/>
      <c r="M30" s="110"/>
      <c r="N30" s="110"/>
      <c r="O30" s="111"/>
    </row>
    <row r="31" spans="1:15" ht="15.75" x14ac:dyDescent="0.25">
      <c r="A31" s="1" t="s">
        <v>24</v>
      </c>
      <c r="B31" s="108"/>
      <c r="C31" s="108"/>
      <c r="D31" s="108"/>
      <c r="E31" s="108">
        <f>F7*(T7/100)</f>
        <v>1.4221667896825401</v>
      </c>
      <c r="F31" s="108">
        <f>G7*(T7/100)</f>
        <v>1.4221667896825401</v>
      </c>
      <c r="G31" s="108"/>
      <c r="H31" s="108"/>
      <c r="I31" s="108"/>
      <c r="J31" s="109">
        <f>K7*(T7/100)</f>
        <v>0.71108339484127003</v>
      </c>
      <c r="K31" s="109">
        <f>L7*(T7/100)</f>
        <v>0.71108339484127003</v>
      </c>
      <c r="L31" s="110"/>
      <c r="M31" s="110"/>
      <c r="N31" s="110">
        <f>O7*(T7/100)</f>
        <v>0.71108339484127003</v>
      </c>
      <c r="O31" s="111">
        <f>P7*(T7/100)</f>
        <v>0.71108339484127003</v>
      </c>
    </row>
    <row r="32" spans="1:15" x14ac:dyDescent="0.25">
      <c r="A32" s="39" t="s">
        <v>83</v>
      </c>
      <c r="B32" s="112">
        <f>AVERAGE(B28:B31)</f>
        <v>1.9854758095238094</v>
      </c>
      <c r="C32" s="112">
        <f t="shared" ref="C32:O32" si="4">AVERAGE(C28:C31)</f>
        <v>2.0404187326007328</v>
      </c>
      <c r="D32" s="112">
        <f t="shared" si="4"/>
        <v>1.576286952380952</v>
      </c>
      <c r="E32" s="112">
        <f t="shared" si="4"/>
        <v>1.2777679710012211</v>
      </c>
      <c r="F32" s="112">
        <f t="shared" si="4"/>
        <v>1.4221667896825401</v>
      </c>
      <c r="G32" s="112" t="e">
        <f t="shared" si="4"/>
        <v>#DIV/0!</v>
      </c>
      <c r="H32" s="112" t="e">
        <f t="shared" si="4"/>
        <v>#DIV/0!</v>
      </c>
      <c r="I32" s="112" t="e">
        <f t="shared" si="4"/>
        <v>#DIV/0!</v>
      </c>
      <c r="J32" s="112">
        <f t="shared" si="4"/>
        <v>0.71108339484127003</v>
      </c>
      <c r="K32" s="112">
        <f t="shared" si="4"/>
        <v>0.71108339484127003</v>
      </c>
      <c r="L32" s="112" t="e">
        <f t="shared" si="4"/>
        <v>#DIV/0!</v>
      </c>
      <c r="M32" s="112" t="e">
        <f t="shared" si="4"/>
        <v>#DIV/0!</v>
      </c>
      <c r="N32" s="112">
        <f t="shared" si="4"/>
        <v>0.71108339484127003</v>
      </c>
      <c r="O32" s="112">
        <f t="shared" si="4"/>
        <v>0.71108339484127003</v>
      </c>
    </row>
    <row r="33" spans="1:15" x14ac:dyDescent="0.25">
      <c r="A33" s="40" t="s">
        <v>84</v>
      </c>
      <c r="B33" s="113">
        <f>IFERROR(B32*100/3,"-")</f>
        <v>66.18252698412698</v>
      </c>
      <c r="C33" s="113">
        <f t="shared" ref="C33:O33" si="5">IFERROR(C32*100/3,"-")</f>
        <v>68.013957753357758</v>
      </c>
      <c r="D33" s="113">
        <f t="shared" si="5"/>
        <v>52.542898412698399</v>
      </c>
      <c r="E33" s="113">
        <f t="shared" si="5"/>
        <v>42.592265700040706</v>
      </c>
      <c r="F33" s="113">
        <f t="shared" si="5"/>
        <v>47.405559656084669</v>
      </c>
      <c r="G33" s="113" t="str">
        <f t="shared" si="5"/>
        <v>-</v>
      </c>
      <c r="H33" s="113" t="str">
        <f t="shared" si="5"/>
        <v>-</v>
      </c>
      <c r="I33" s="113" t="str">
        <f t="shared" si="5"/>
        <v>-</v>
      </c>
      <c r="J33" s="113">
        <f t="shared" si="5"/>
        <v>23.702779828042335</v>
      </c>
      <c r="K33" s="113">
        <f t="shared" si="5"/>
        <v>23.702779828042335</v>
      </c>
      <c r="L33" s="113" t="str">
        <f t="shared" si="5"/>
        <v>-</v>
      </c>
      <c r="M33" s="113" t="str">
        <f t="shared" si="5"/>
        <v>-</v>
      </c>
      <c r="N33" s="113">
        <f t="shared" si="5"/>
        <v>23.702779828042335</v>
      </c>
      <c r="O33" s="113">
        <f t="shared" si="5"/>
        <v>23.702779828042335</v>
      </c>
    </row>
  </sheetData>
  <mergeCells count="1">
    <mergeCell ref="A26:O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CO-Attainment flow</vt:lpstr>
      <vt:lpstr>CO-PO Mapping</vt:lpstr>
      <vt:lpstr>CIE+SEE</vt:lpstr>
      <vt:lpstr>CES</vt:lpstr>
      <vt:lpstr>CO-Attainment</vt:lpstr>
      <vt:lpstr>PO-Attainment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Suresh</dc:creator>
  <cp:lastModifiedBy>Deva raju</cp:lastModifiedBy>
  <dcterms:created xsi:type="dcterms:W3CDTF">2023-11-22T11:02:35Z</dcterms:created>
  <dcterms:modified xsi:type="dcterms:W3CDTF">2026-03-14T10:13:40Z</dcterms:modified>
</cp:coreProperties>
</file>